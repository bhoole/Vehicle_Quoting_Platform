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xl/tables/table66.xml" ContentType="application/vnd.openxmlformats-officedocument.spreadsheetml.table+xml"/>
  <Override PartName="/xl/tables/table67.xml" ContentType="application/vnd.openxmlformats-officedocument.spreadsheetml.table+xml"/>
  <Override PartName="/xl/tables/table68.xml" ContentType="application/vnd.openxmlformats-officedocument.spreadsheetml.table+xml"/>
  <Override PartName="/xl/tables/table69.xml" ContentType="application/vnd.openxmlformats-officedocument.spreadsheetml.table+xml"/>
  <Override PartName="/xl/tables/table70.xml" ContentType="application/vnd.openxmlformats-officedocument.spreadsheetml.table+xml"/>
  <Override PartName="/xl/tables/table71.xml" ContentType="application/vnd.openxmlformats-officedocument.spreadsheetml.table+xml"/>
  <Override PartName="/xl/tables/table72.xml" ContentType="application/vnd.openxmlformats-officedocument.spreadsheetml.table+xml"/>
  <Override PartName="/xl/tables/table73.xml" ContentType="application/vnd.openxmlformats-officedocument.spreadsheetml.table+xml"/>
  <Override PartName="/xl/tables/table74.xml" ContentType="application/vnd.openxmlformats-officedocument.spreadsheetml.table+xml"/>
  <Override PartName="/xl/tables/table75.xml" ContentType="application/vnd.openxmlformats-officedocument.spreadsheetml.table+xml"/>
  <Override PartName="/xl/tables/table76.xml" ContentType="application/vnd.openxmlformats-officedocument.spreadsheetml.table+xml"/>
  <Override PartName="/xl/tables/table77.xml" ContentType="application/vnd.openxmlformats-officedocument.spreadsheetml.table+xml"/>
  <Override PartName="/xl/tables/table78.xml" ContentType="application/vnd.openxmlformats-officedocument.spreadsheetml.table+xml"/>
  <Override PartName="/xl/tables/table79.xml" ContentType="application/vnd.openxmlformats-officedocument.spreadsheetml.table+xml"/>
  <Override PartName="/xl/tables/table80.xml" ContentType="application/vnd.openxmlformats-officedocument.spreadsheetml.table+xml"/>
  <Override PartName="/xl/tables/table81.xml" ContentType="application/vnd.openxmlformats-officedocument.spreadsheetml.table+xml"/>
  <Override PartName="/xl/tables/table82.xml" ContentType="application/vnd.openxmlformats-officedocument.spreadsheetml.table+xml"/>
  <Override PartName="/xl/tables/table83.xml" ContentType="application/vnd.openxmlformats-officedocument.spreadsheetml.table+xml"/>
  <Override PartName="/xl/tables/table84.xml" ContentType="application/vnd.openxmlformats-officedocument.spreadsheetml.table+xml"/>
  <Override PartName="/xl/tables/table85.xml" ContentType="application/vnd.openxmlformats-officedocument.spreadsheetml.table+xml"/>
  <Override PartName="/xl/tables/table86.xml" ContentType="application/vnd.openxmlformats-officedocument.spreadsheetml.table+xml"/>
  <Override PartName="/xl/tables/table87.xml" ContentType="application/vnd.openxmlformats-officedocument.spreadsheetml.table+xml"/>
  <Override PartName="/xl/tables/table88.xml" ContentType="application/vnd.openxmlformats-officedocument.spreadsheetml.table+xml"/>
  <Override PartName="/xl/tables/table89.xml" ContentType="application/vnd.openxmlformats-officedocument.spreadsheetml.table+xml"/>
  <Override PartName="/xl/tables/table90.xml" ContentType="application/vnd.openxmlformats-officedocument.spreadsheetml.table+xml"/>
  <Override PartName="/xl/tables/table91.xml" ContentType="application/vnd.openxmlformats-officedocument.spreadsheetml.table+xml"/>
  <Override PartName="/xl/tables/table92.xml" ContentType="application/vnd.openxmlformats-officedocument.spreadsheetml.table+xml"/>
  <Override PartName="/xl/tables/table93.xml" ContentType="application/vnd.openxmlformats-officedocument.spreadsheetml.table+xml"/>
  <Override PartName="/xl/tables/table94.xml" ContentType="application/vnd.openxmlformats-officedocument.spreadsheetml.table+xml"/>
  <Override PartName="/xl/tables/table95.xml" ContentType="application/vnd.openxmlformats-officedocument.spreadsheetml.table+xml"/>
  <Override PartName="/xl/tables/table96.xml" ContentType="application/vnd.openxmlformats-officedocument.spreadsheetml.table+xml"/>
  <Override PartName="/xl/tables/table97.xml" ContentType="application/vnd.openxmlformats-officedocument.spreadsheetml.table+xml"/>
  <Override PartName="/xl/tables/table98.xml" ContentType="application/vnd.openxmlformats-officedocument.spreadsheetml.table+xml"/>
  <Override PartName="/xl/tables/table99.xml" ContentType="application/vnd.openxmlformats-officedocument.spreadsheetml.table+xml"/>
  <Override PartName="/xl/tables/table100.xml" ContentType="application/vnd.openxmlformats-officedocument.spreadsheetml.table+xml"/>
  <Override PartName="/xl/tables/table101.xml" ContentType="application/vnd.openxmlformats-officedocument.spreadsheetml.table+xml"/>
  <Override PartName="/xl/tables/table102.xml" ContentType="application/vnd.openxmlformats-officedocument.spreadsheetml.table+xml"/>
  <Override PartName="/xl/tables/table103.xml" ContentType="application/vnd.openxmlformats-officedocument.spreadsheetml.table+xml"/>
  <Override PartName="/xl/tables/table104.xml" ContentType="application/vnd.openxmlformats-officedocument.spreadsheetml.table+xml"/>
  <Override PartName="/xl/tables/table105.xml" ContentType="application/vnd.openxmlformats-officedocument.spreadsheetml.table+xml"/>
  <Override PartName="/xl/tables/table106.xml" ContentType="application/vnd.openxmlformats-officedocument.spreadsheetml.table+xml"/>
  <Override PartName="/xl/tables/table107.xml" ContentType="application/vnd.openxmlformats-officedocument.spreadsheetml.table+xml"/>
  <Override PartName="/xl/tables/table108.xml" ContentType="application/vnd.openxmlformats-officedocument.spreadsheetml.table+xml"/>
  <Override PartName="/xl/tables/table109.xml" ContentType="application/vnd.openxmlformats-officedocument.spreadsheetml.table+xml"/>
  <Override PartName="/xl/tables/table110.xml" ContentType="application/vnd.openxmlformats-officedocument.spreadsheetml.table+xml"/>
  <Override PartName="/xl/tables/table111.xml" ContentType="application/vnd.openxmlformats-officedocument.spreadsheetml.table+xml"/>
  <Override PartName="/xl/tables/table112.xml" ContentType="application/vnd.openxmlformats-officedocument.spreadsheetml.table+xml"/>
  <Override PartName="/xl/tables/table113.xml" ContentType="application/vnd.openxmlformats-officedocument.spreadsheetml.table+xml"/>
  <Override PartName="/xl/tables/table114.xml" ContentType="application/vnd.openxmlformats-officedocument.spreadsheetml.table+xml"/>
  <Override PartName="/xl/tables/table115.xml" ContentType="application/vnd.openxmlformats-officedocument.spreadsheetml.table+xml"/>
  <Override PartName="/xl/tables/table116.xml" ContentType="application/vnd.openxmlformats-officedocument.spreadsheetml.table+xml"/>
  <Override PartName="/xl/tables/table117.xml" ContentType="application/vnd.openxmlformats-officedocument.spreadsheetml.table+xml"/>
  <Override PartName="/xl/tables/table118.xml" ContentType="application/vnd.openxmlformats-officedocument.spreadsheetml.table+xml"/>
  <Override PartName="/xl/tables/table119.xml" ContentType="application/vnd.openxmlformats-officedocument.spreadsheetml.table+xml"/>
  <Override PartName="/xl/tables/table120.xml" ContentType="application/vnd.openxmlformats-officedocument.spreadsheetml.table+xml"/>
  <Override PartName="/xl/tables/table121.xml" ContentType="application/vnd.openxmlformats-officedocument.spreadsheetml.table+xml"/>
  <Override PartName="/xl/tables/table122.xml" ContentType="application/vnd.openxmlformats-officedocument.spreadsheetml.table+xml"/>
  <Override PartName="/xl/tables/table123.xml" ContentType="application/vnd.openxmlformats-officedocument.spreadsheetml.table+xml"/>
  <Override PartName="/xl/tables/table124.xml" ContentType="application/vnd.openxmlformats-officedocument.spreadsheetml.table+xml"/>
  <Override PartName="/xl/tables/table125.xml" ContentType="application/vnd.openxmlformats-officedocument.spreadsheetml.table+xml"/>
  <Override PartName="/xl/tables/table126.xml" ContentType="application/vnd.openxmlformats-officedocument.spreadsheetml.table+xml"/>
  <Override PartName="/xl/tables/table127.xml" ContentType="application/vnd.openxmlformats-officedocument.spreadsheetml.table+xml"/>
  <Override PartName="/xl/tables/table128.xml" ContentType="application/vnd.openxmlformats-officedocument.spreadsheetml.table+xml"/>
  <Override PartName="/xl/tables/table129.xml" ContentType="application/vnd.openxmlformats-officedocument.spreadsheetml.table+xml"/>
  <Override PartName="/xl/tables/table130.xml" ContentType="application/vnd.openxmlformats-officedocument.spreadsheetml.table+xml"/>
  <Override PartName="/xl/tables/table131.xml" ContentType="application/vnd.openxmlformats-officedocument.spreadsheetml.table+xml"/>
  <Override PartName="/xl/tables/table132.xml" ContentType="application/vnd.openxmlformats-officedocument.spreadsheetml.table+xml"/>
  <Override PartName="/xl/tables/table133.xml" ContentType="application/vnd.openxmlformats-officedocument.spreadsheetml.table+xml"/>
  <Override PartName="/xl/tables/table134.xml" ContentType="application/vnd.openxmlformats-officedocument.spreadsheetml.table+xml"/>
  <Override PartName="/xl/tables/table135.xml" ContentType="application/vnd.openxmlformats-officedocument.spreadsheetml.table+xml"/>
  <Override PartName="/xl/tables/table136.xml" ContentType="application/vnd.openxmlformats-officedocument.spreadsheetml.table+xml"/>
  <Override PartName="/xl/tables/table137.xml" ContentType="application/vnd.openxmlformats-officedocument.spreadsheetml.table+xml"/>
  <Override PartName="/xl/tables/table138.xml" ContentType="application/vnd.openxmlformats-officedocument.spreadsheetml.table+xml"/>
  <Override PartName="/xl/tables/table139.xml" ContentType="application/vnd.openxmlformats-officedocument.spreadsheetml.table+xml"/>
  <Override PartName="/xl/tables/table140.xml" ContentType="application/vnd.openxmlformats-officedocument.spreadsheetml.table+xml"/>
  <Override PartName="/xl/tables/table141.xml" ContentType="application/vnd.openxmlformats-officedocument.spreadsheetml.table+xml"/>
  <Override PartName="/xl/tables/table142.xml" ContentType="application/vnd.openxmlformats-officedocument.spreadsheetml.table+xml"/>
  <Override PartName="/xl/tables/table143.xml" ContentType="application/vnd.openxmlformats-officedocument.spreadsheetml.table+xml"/>
  <Override PartName="/xl/tables/table144.xml" ContentType="application/vnd.openxmlformats-officedocument.spreadsheetml.table+xml"/>
  <Override PartName="/xl/tables/table145.xml" ContentType="application/vnd.openxmlformats-officedocument.spreadsheetml.table+xml"/>
  <Override PartName="/xl/tables/table146.xml" ContentType="application/vnd.openxmlformats-officedocument.spreadsheetml.table+xml"/>
  <Override PartName="/xl/tables/table147.xml" ContentType="application/vnd.openxmlformats-officedocument.spreadsheetml.table+xml"/>
  <Override PartName="/xl/tables/table148.xml" ContentType="application/vnd.openxmlformats-officedocument.spreadsheetml.table+xml"/>
  <Override PartName="/xl/tables/table149.xml" ContentType="application/vnd.openxmlformats-officedocument.spreadsheetml.table+xml"/>
  <Override PartName="/xl/tables/table150.xml" ContentType="application/vnd.openxmlformats-officedocument.spreadsheetml.table+xml"/>
  <Override PartName="/xl/tables/table151.xml" ContentType="application/vnd.openxmlformats-officedocument.spreadsheetml.table+xml"/>
  <Override PartName="/xl/tables/table152.xml" ContentType="application/vnd.openxmlformats-officedocument.spreadsheetml.table+xml"/>
  <Override PartName="/xl/tables/table153.xml" ContentType="application/vnd.openxmlformats-officedocument.spreadsheetml.table+xml"/>
  <Override PartName="/xl/tables/table154.xml" ContentType="application/vnd.openxmlformats-officedocument.spreadsheetml.table+xml"/>
  <Override PartName="/xl/tables/table155.xml" ContentType="application/vnd.openxmlformats-officedocument.spreadsheetml.table+xml"/>
  <Override PartName="/xl/tables/table156.xml" ContentType="application/vnd.openxmlformats-officedocument.spreadsheetml.table+xml"/>
  <Override PartName="/xl/tables/table157.xml" ContentType="application/vnd.openxmlformats-officedocument.spreadsheetml.table+xml"/>
  <Override PartName="/xl/tables/table158.xml" ContentType="application/vnd.openxmlformats-officedocument.spreadsheetml.table+xml"/>
  <Override PartName="/xl/tables/table159.xml" ContentType="application/vnd.openxmlformats-officedocument.spreadsheetml.table+xml"/>
  <Override PartName="/xl/tables/table160.xml" ContentType="application/vnd.openxmlformats-officedocument.spreadsheetml.table+xml"/>
  <Override PartName="/xl/tables/table161.xml" ContentType="application/vnd.openxmlformats-officedocument.spreadsheetml.table+xml"/>
  <Override PartName="/xl/tables/table162.xml" ContentType="application/vnd.openxmlformats-officedocument.spreadsheetml.table+xml"/>
  <Override PartName="/xl/tables/table163.xml" ContentType="application/vnd.openxmlformats-officedocument.spreadsheetml.table+xml"/>
  <Override PartName="/xl/tables/table164.xml" ContentType="application/vnd.openxmlformats-officedocument.spreadsheetml.table+xml"/>
  <Override PartName="/xl/tables/table165.xml" ContentType="application/vnd.openxmlformats-officedocument.spreadsheetml.table+xml"/>
  <Override PartName="/xl/tables/table166.xml" ContentType="application/vnd.openxmlformats-officedocument.spreadsheetml.table+xml"/>
  <Override PartName="/xl/tables/table167.xml" ContentType="application/vnd.openxmlformats-officedocument.spreadsheetml.table+xml"/>
  <Override PartName="/xl/tables/table168.xml" ContentType="application/vnd.openxmlformats-officedocument.spreadsheetml.table+xml"/>
  <Override PartName="/xl/tables/table169.xml" ContentType="application/vnd.openxmlformats-officedocument.spreadsheetml.table+xml"/>
  <Override PartName="/xl/tables/table170.xml" ContentType="application/vnd.openxmlformats-officedocument.spreadsheetml.table+xml"/>
  <Override PartName="/xl/tables/table171.xml" ContentType="application/vnd.openxmlformats-officedocument.spreadsheetml.table+xml"/>
  <Override PartName="/xl/tables/table172.xml" ContentType="application/vnd.openxmlformats-officedocument.spreadsheetml.table+xml"/>
  <Override PartName="/xl/tables/table173.xml" ContentType="application/vnd.openxmlformats-officedocument.spreadsheetml.table+xml"/>
  <Override PartName="/xl/tables/table174.xml" ContentType="application/vnd.openxmlformats-officedocument.spreadsheetml.table+xml"/>
  <Override PartName="/xl/tables/table175.xml" ContentType="application/vnd.openxmlformats-officedocument.spreadsheetml.table+xml"/>
  <Override PartName="/xl/tables/table176.xml" ContentType="application/vnd.openxmlformats-officedocument.spreadsheetml.table+xml"/>
  <Override PartName="/xl/tables/table177.xml" ContentType="application/vnd.openxmlformats-officedocument.spreadsheetml.table+xml"/>
  <Override PartName="/xl/tables/table178.xml" ContentType="application/vnd.openxmlformats-officedocument.spreadsheetml.table+xml"/>
  <Override PartName="/xl/tables/table179.xml" ContentType="application/vnd.openxmlformats-officedocument.spreadsheetml.table+xml"/>
  <Override PartName="/xl/tables/table180.xml" ContentType="application/vnd.openxmlformats-officedocument.spreadsheetml.table+xml"/>
  <Override PartName="/xl/tables/table181.xml" ContentType="application/vnd.openxmlformats-officedocument.spreadsheetml.table+xml"/>
  <Override PartName="/xl/tables/table182.xml" ContentType="application/vnd.openxmlformats-officedocument.spreadsheetml.table+xml"/>
  <Override PartName="/xl/tables/table183.xml" ContentType="application/vnd.openxmlformats-officedocument.spreadsheetml.table+xml"/>
  <Override PartName="/xl/tables/table184.xml" ContentType="application/vnd.openxmlformats-officedocument.spreadsheetml.table+xml"/>
  <Override PartName="/xl/tables/table185.xml" ContentType="application/vnd.openxmlformats-officedocument.spreadsheetml.table+xml"/>
  <Override PartName="/xl/tables/table186.xml" ContentType="application/vnd.openxmlformats-officedocument.spreadsheetml.table+xml"/>
  <Override PartName="/xl/tables/table187.xml" ContentType="application/vnd.openxmlformats-officedocument.spreadsheetml.table+xml"/>
  <Override PartName="/xl/tables/table188.xml" ContentType="application/vnd.openxmlformats-officedocument.spreadsheetml.table+xml"/>
  <Override PartName="/xl/tables/table189.xml" ContentType="application/vnd.openxmlformats-officedocument.spreadsheetml.table+xml"/>
  <Override PartName="/xl/tables/table190.xml" ContentType="application/vnd.openxmlformats-officedocument.spreadsheetml.table+xml"/>
  <Override PartName="/xl/tables/table191.xml" ContentType="application/vnd.openxmlformats-officedocument.spreadsheetml.table+xml"/>
  <Override PartName="/xl/tables/table192.xml" ContentType="application/vnd.openxmlformats-officedocument.spreadsheetml.table+xml"/>
  <Override PartName="/xl/tables/table193.xml" ContentType="application/vnd.openxmlformats-officedocument.spreadsheetml.table+xml"/>
  <Override PartName="/xl/tables/table194.xml" ContentType="application/vnd.openxmlformats-officedocument.spreadsheetml.table+xml"/>
  <Override PartName="/xl/tables/table195.xml" ContentType="application/vnd.openxmlformats-officedocument.spreadsheetml.table+xml"/>
  <Override PartName="/xl/tables/table196.xml" ContentType="application/vnd.openxmlformats-officedocument.spreadsheetml.table+xml"/>
  <Override PartName="/xl/tables/table197.xml" ContentType="application/vnd.openxmlformats-officedocument.spreadsheetml.table+xml"/>
  <Override PartName="/xl/tables/table198.xml" ContentType="application/vnd.openxmlformats-officedocument.spreadsheetml.table+xml"/>
  <Override PartName="/xl/tables/table199.xml" ContentType="application/vnd.openxmlformats-officedocument.spreadsheetml.table+xml"/>
  <Override PartName="/xl/tables/table200.xml" ContentType="application/vnd.openxmlformats-officedocument.spreadsheetml.table+xml"/>
  <Override PartName="/xl/tables/table201.xml" ContentType="application/vnd.openxmlformats-officedocument.spreadsheetml.table+xml"/>
  <Override PartName="/xl/tables/table202.xml" ContentType="application/vnd.openxmlformats-officedocument.spreadsheetml.table+xml"/>
  <Override PartName="/xl/tables/table203.xml" ContentType="application/vnd.openxmlformats-officedocument.spreadsheetml.table+xml"/>
  <Override PartName="/xl/tables/table204.xml" ContentType="application/vnd.openxmlformats-officedocument.spreadsheetml.table+xml"/>
  <Override PartName="/xl/tables/table205.xml" ContentType="application/vnd.openxmlformats-officedocument.spreadsheetml.table+xml"/>
  <Override PartName="/xl/tables/table206.xml" ContentType="application/vnd.openxmlformats-officedocument.spreadsheetml.table+xml"/>
  <Override PartName="/xl/tables/table207.xml" ContentType="application/vnd.openxmlformats-officedocument.spreadsheetml.table+xml"/>
  <Override PartName="/xl/tables/table208.xml" ContentType="application/vnd.openxmlformats-officedocument.spreadsheetml.table+xml"/>
  <Override PartName="/xl/tables/table209.xml" ContentType="application/vnd.openxmlformats-officedocument.spreadsheetml.table+xml"/>
  <Override PartName="/xl/tables/table210.xml" ContentType="application/vnd.openxmlformats-officedocument.spreadsheetml.table+xml"/>
  <Override PartName="/xl/tables/table211.xml" ContentType="application/vnd.openxmlformats-officedocument.spreadsheetml.table+xml"/>
  <Override PartName="/xl/tables/table212.xml" ContentType="application/vnd.openxmlformats-officedocument.spreadsheetml.table+xml"/>
  <Override PartName="/xl/tables/table213.xml" ContentType="application/vnd.openxmlformats-officedocument.spreadsheetml.table+xml"/>
  <Override PartName="/xl/tables/table214.xml" ContentType="application/vnd.openxmlformats-officedocument.spreadsheetml.table+xml"/>
  <Override PartName="/xl/tables/table215.xml" ContentType="application/vnd.openxmlformats-officedocument.spreadsheetml.table+xml"/>
  <Override PartName="/xl/tables/table216.xml" ContentType="application/vnd.openxmlformats-officedocument.spreadsheetml.table+xml"/>
  <Override PartName="/xl/tables/table217.xml" ContentType="application/vnd.openxmlformats-officedocument.spreadsheetml.table+xml"/>
  <Override PartName="/xl/tables/table218.xml" ContentType="application/vnd.openxmlformats-officedocument.spreadsheetml.table+xml"/>
  <Override PartName="/xl/tables/table219.xml" ContentType="application/vnd.openxmlformats-officedocument.spreadsheetml.table+xml"/>
  <Override PartName="/xl/tables/table220.xml" ContentType="application/vnd.openxmlformats-officedocument.spreadsheetml.table+xml"/>
  <Override PartName="/xl/tables/table221.xml" ContentType="application/vnd.openxmlformats-officedocument.spreadsheetml.table+xml"/>
  <Override PartName="/xl/tables/table222.xml" ContentType="application/vnd.openxmlformats-officedocument.spreadsheetml.table+xml"/>
  <Override PartName="/xl/tables/table223.xml" ContentType="application/vnd.openxmlformats-officedocument.spreadsheetml.table+xml"/>
  <Override PartName="/xl/tables/table224.xml" ContentType="application/vnd.openxmlformats-officedocument.spreadsheetml.table+xml"/>
  <Override PartName="/xl/tables/table225.xml" ContentType="application/vnd.openxmlformats-officedocument.spreadsheetml.table+xml"/>
  <Override PartName="/xl/tables/table226.xml" ContentType="application/vnd.openxmlformats-officedocument.spreadsheetml.table+xml"/>
  <Override PartName="/xl/tables/table227.xml" ContentType="application/vnd.openxmlformats-officedocument.spreadsheetml.table+xml"/>
  <Override PartName="/xl/tables/table228.xml" ContentType="application/vnd.openxmlformats-officedocument.spreadsheetml.table+xml"/>
  <Override PartName="/xl/tables/table229.xml" ContentType="application/vnd.openxmlformats-officedocument.spreadsheetml.table+xml"/>
  <Override PartName="/xl/tables/table230.xml" ContentType="application/vnd.openxmlformats-officedocument.spreadsheetml.table+xml"/>
  <Override PartName="/xl/tables/table231.xml" ContentType="application/vnd.openxmlformats-officedocument.spreadsheetml.table+xml"/>
  <Override PartName="/xl/tables/table232.xml" ContentType="application/vnd.openxmlformats-officedocument.spreadsheetml.table+xml"/>
  <Override PartName="/xl/tables/table233.xml" ContentType="application/vnd.openxmlformats-officedocument.spreadsheetml.table+xml"/>
  <Override PartName="/xl/tables/table234.xml" ContentType="application/vnd.openxmlformats-officedocument.spreadsheetml.table+xml"/>
  <Override PartName="/xl/tables/table235.xml" ContentType="application/vnd.openxmlformats-officedocument.spreadsheetml.table+xml"/>
  <Override PartName="/xl/tables/table236.xml" ContentType="application/vnd.openxmlformats-officedocument.spreadsheetml.table+xml"/>
  <Override PartName="/xl/tables/table237.xml" ContentType="application/vnd.openxmlformats-officedocument.spreadsheetml.table+xml"/>
  <Override PartName="/xl/tables/table238.xml" ContentType="application/vnd.openxmlformats-officedocument.spreadsheetml.table+xml"/>
  <Override PartName="/xl/tables/table239.xml" ContentType="application/vnd.openxmlformats-officedocument.spreadsheetml.table+xml"/>
  <Override PartName="/xl/tables/table240.xml" ContentType="application/vnd.openxmlformats-officedocument.spreadsheetml.table+xml"/>
  <Override PartName="/xl/tables/table241.xml" ContentType="application/vnd.openxmlformats-officedocument.spreadsheetml.table+xml"/>
  <Override PartName="/xl/tables/table242.xml" ContentType="application/vnd.openxmlformats-officedocument.spreadsheetml.table+xml"/>
  <Override PartName="/xl/tables/table243.xml" ContentType="application/vnd.openxmlformats-officedocument.spreadsheetml.table+xml"/>
  <Override PartName="/xl/tables/table244.xml" ContentType="application/vnd.openxmlformats-officedocument.spreadsheetml.table+xml"/>
  <Override PartName="/xl/tables/table245.xml" ContentType="application/vnd.openxmlformats-officedocument.spreadsheetml.table+xml"/>
  <Override PartName="/xl/tables/table246.xml" ContentType="application/vnd.openxmlformats-officedocument.spreadsheetml.table+xml"/>
  <Override PartName="/xl/tables/table247.xml" ContentType="application/vnd.openxmlformats-officedocument.spreadsheetml.table+xml"/>
  <Override PartName="/xl/tables/table248.xml" ContentType="application/vnd.openxmlformats-officedocument.spreadsheetml.table+xml"/>
  <Override PartName="/xl/tables/table249.xml" ContentType="application/vnd.openxmlformats-officedocument.spreadsheetml.table+xml"/>
  <Override PartName="/xl/tables/table250.xml" ContentType="application/vnd.openxmlformats-officedocument.spreadsheetml.table+xml"/>
  <Override PartName="/xl/tables/table251.xml" ContentType="application/vnd.openxmlformats-officedocument.spreadsheetml.table+xml"/>
  <Override PartName="/xl/tables/table252.xml" ContentType="application/vnd.openxmlformats-officedocument.spreadsheetml.table+xml"/>
  <Override PartName="/xl/tables/table253.xml" ContentType="application/vnd.openxmlformats-officedocument.spreadsheetml.table+xml"/>
  <Override PartName="/xl/tables/table254.xml" ContentType="application/vnd.openxmlformats-officedocument.spreadsheetml.table+xml"/>
  <Override PartName="/xl/tables/table255.xml" ContentType="application/vnd.openxmlformats-officedocument.spreadsheetml.table+xml"/>
  <Override PartName="/xl/tables/table256.xml" ContentType="application/vnd.openxmlformats-officedocument.spreadsheetml.table+xml"/>
  <Override PartName="/xl/tables/table257.xml" ContentType="application/vnd.openxmlformats-officedocument.spreadsheetml.table+xml"/>
  <Override PartName="/xl/tables/table258.xml" ContentType="application/vnd.openxmlformats-officedocument.spreadsheetml.table+xml"/>
  <Override PartName="/xl/tables/table25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Becky\Documents\GitHub\Vehicle_Quoting_Platform\"/>
    </mc:Choice>
  </mc:AlternateContent>
  <bookViews>
    <workbookView xWindow="0" yWindow="0" windowWidth="16524" windowHeight="8184" activeTab="2"/>
  </bookViews>
  <sheets>
    <sheet name="Sheet2" sheetId="8" r:id="rId1"/>
    <sheet name="Sheet1" sheetId="1" r:id="rId2"/>
    <sheet name="Options" sheetId="2" r:id="rId3"/>
    <sheet name="Paint" sheetId="3" r:id="rId4"/>
    <sheet name="Wheels" sheetId="4" r:id="rId5"/>
    <sheet name="Trim" sheetId="5" r:id="rId6"/>
    <sheet name="Headlining" sheetId="7" r:id="rId7"/>
    <sheet name="Upholstery" sheetId="6" r:id="rId8"/>
  </sheets>
  <functionGroups builtInGroupCount="18"/>
  <definedNames>
    <definedName name="_xlnm._FilterDatabase" localSheetId="1" hidden="1">Sheet1!$A$1:$F$71</definedName>
    <definedName name="A180O">Table70[A 180 Options]</definedName>
    <definedName name="A200CDIO">Table72[A 200 CDI Options]</definedName>
    <definedName name="A200O">Table71[A 200 Options]</definedName>
    <definedName name="A250SportO">Table73[A 250 Sport Options]</definedName>
    <definedName name="A45AMG4MATICO">Table74[[A 45 AMG Options ]]</definedName>
    <definedName name="A45AMGO">Table74[[A 45 AMG Options ]]</definedName>
    <definedName name="AClassList">Sheet1!$C$16:$C$20</definedName>
    <definedName name="AMGS63Coupe">Table165167[[AMG S 63 Options ]]</definedName>
    <definedName name="AMGS63LO">Table119121122123124125[[AMG S 63 L Options ]]</definedName>
    <definedName name="AMGS63SaloonO">Table165167[[AMG S 63 Options ]]</definedName>
    <definedName name="AMGS65LO">Table119121122123124125127[[AMG S 65 L Options ]]</definedName>
    <definedName name="AMGS65O">Table165167168[[AMG S 65 Options ]]</definedName>
    <definedName name="AMGSL65O">Table103[[AMG SL 65 Options ]]</definedName>
    <definedName name="BClassList">Sheet1!$C$68:$C$71</definedName>
    <definedName name="CClassEstateList">Sheet1!$C$63:$C$67</definedName>
    <definedName name="CClassSedanList">Sheet1!$C$57:$C$62</definedName>
    <definedName name="CLA200CDIO">Table55[CLA 200 CDI Options]</definedName>
    <definedName name="CLA200O">Table50[CLA 200 Options]</definedName>
    <definedName name="CLA250SportO">Table60[CLA 250 Sport Options]</definedName>
    <definedName name="CLA45AMG4MATICO">Table65[CLA 45 AMG Options]</definedName>
    <definedName name="CLA45AMGO">Table65[CLA 45 AMG Options]</definedName>
    <definedName name="CLAClassList">Sheet1!$C$12:$C$15</definedName>
    <definedName name="CLS250CDIO">Table211[CLS 250 CDI Options]</definedName>
    <definedName name="CLS250CDIShootingBrakeO">Table224[CLS 250 CDI Options]</definedName>
    <definedName name="CLS400O">Table212[CLS 400 Options]</definedName>
    <definedName name="CLS500O">Table213[[CLS 500 Options ]]</definedName>
    <definedName name="CLS500ShootingBrakeO">Table225[[CLS 500 Options ]]</definedName>
    <definedName name="CLS63AMGSO">Table214[CLS 63 AMG S Options]</definedName>
    <definedName name="CLSClassCoupeList">Sheet1!$C$51:$C$54</definedName>
    <definedName name="CLSClassShootingBrakeList">Sheet1!$C$55:$C$56</definedName>
    <definedName name="E200CDIO">Table194196[E200 CDI Options]</definedName>
    <definedName name="E200O">Table194[E200 Options]</definedName>
    <definedName name="E250CDIO">Table194196197198[E250 CDI Options]</definedName>
    <definedName name="E250O">Table194196197[E250 Options]</definedName>
    <definedName name="E300BlueTECHYBRIDO">Table194196197198199[E300 BlueTEC Hybrid Options]</definedName>
    <definedName name="E400O">Table194196197198200[E400 Options]</definedName>
    <definedName name="E400wEXCLUSIVEPACKAGEO">Table194196197198200252[E400 W/Exclusive Options]</definedName>
    <definedName name="E63AMGSO">Table194196197198200201[E 63 AMG S Options]</definedName>
    <definedName name="EClassList">Sheet1!$C$43:$C$50</definedName>
    <definedName name="G350BlueTECO">Table36[G 350 BlueTEC Options]</definedName>
    <definedName name="G500O">Table41[G500 Options]</definedName>
    <definedName name="G63AMGO">Table45[G63 AMG]</definedName>
    <definedName name="GClassList">Sheet1!$C$9:$C$11</definedName>
    <definedName name="GL350BlueTECEditionSO">Table179181[GL 350 BlueTEC ''Edition S'' Options]</definedName>
    <definedName name="GL350BlueTECLimitedEditionO">Table179[GL 350 BlueTEC ''Limited Edition'' Options]</definedName>
    <definedName name="GL500EditionSO">Table179181182[GL 500 ''Edition S'' Options]</definedName>
    <definedName name="GL63AMGO">Table179181182183[GL 63 AMG Options]</definedName>
    <definedName name="GLA200O">Table21[GLA 200 CDI Options]</definedName>
    <definedName name="GLA250O">Table26[GLA 250 4MATIC Options]</definedName>
    <definedName name="GLA45AMG4MATICO">Table31[GLA 45 AMG 4MATIC Options]</definedName>
    <definedName name="GLAClassList">Sheet1!$C$6:$C$8</definedName>
    <definedName name="GLClassList">Sheet1!$C$39:$C$42</definedName>
    <definedName name="ModelLookup">Sheet1!$A$77:$B$92</definedName>
    <definedName name="S300hO">Table117[S 300 h Options]</definedName>
    <definedName name="S350dLO">Table119[[S 350 d L Options ]]</definedName>
    <definedName name="S350dO">Table118[S 350 d Options]</definedName>
    <definedName name="S400LO">Table119121[[S 400 L Options ]]</definedName>
    <definedName name="S500CoupeO">Table165[[S 500 Options ]]</definedName>
    <definedName name="S500LO">Table119121122123[[S 500 L Options ]]</definedName>
    <definedName name="S500SaloonO">Table119121122[[S 500 Options ]]</definedName>
    <definedName name="S600LO">Table119121122123126[[S 600 L Options ]]</definedName>
    <definedName name="SClassCoupeList">Sheet1!$C$36:$C$38</definedName>
    <definedName name="SClassSaloonList">Sheet1!$C$26:$C$35</definedName>
    <definedName name="SL400O">Table100[[SL 400 Options ]]</definedName>
    <definedName name="SL500O">Table101[SL 500 Options]</definedName>
    <definedName name="SLClassRoadsterList">Sheet1!$C$22:$C$25</definedName>
    <definedName name="SLK200O">Table1[SLK 200 Options]</definedName>
    <definedName name="SLK250O">Table6[SLK 250 Options]</definedName>
    <definedName name="SLK350O">Table11[SLK 350 Options]</definedName>
    <definedName name="SLKClassList">Sheet1!$C$2:$C$5</definedName>
    <definedName name="V250BlueTECAVANTGARDEO">Table250[V 250 BlueTEC AVANTGARDE Options]</definedName>
    <definedName name="VClass">Sheet1!#REF!</definedName>
    <definedName name="VClassList">Sheet1!$C$21</definedName>
  </definedNames>
  <calcPr calcId="152511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7" i="8" l="1"/>
  <c r="C10" i="8"/>
  <c r="M7" i="8"/>
  <c r="M6" i="8"/>
  <c r="M5" i="8"/>
  <c r="M4" i="8"/>
  <c r="M3" i="8"/>
</calcChain>
</file>

<file path=xl/sharedStrings.xml><?xml version="1.0" encoding="utf-8"?>
<sst xmlns="http://schemas.openxmlformats.org/spreadsheetml/2006/main" count="3270" uniqueCount="1071">
  <si>
    <t>Manufacturer</t>
  </si>
  <si>
    <t>Mercedes Benz</t>
  </si>
  <si>
    <t>Model</t>
  </si>
  <si>
    <t>Varient</t>
  </si>
  <si>
    <t>Transmission</t>
  </si>
  <si>
    <t xml:space="preserve">SLK-Class Roadster </t>
  </si>
  <si>
    <t>Price</t>
  </si>
  <si>
    <t>Price ex GST</t>
  </si>
  <si>
    <t>Fuel Consumption</t>
  </si>
  <si>
    <t xml:space="preserve">Automatic </t>
  </si>
  <si>
    <t xml:space="preserve">Manual </t>
  </si>
  <si>
    <t>6.5L/100km</t>
  </si>
  <si>
    <t>6.7L/100km</t>
  </si>
  <si>
    <t>8.0L/100km</t>
  </si>
  <si>
    <t>8.5L/100km</t>
  </si>
  <si>
    <t>950 - AMG Package</t>
  </si>
  <si>
    <t>952 - Sports Package</t>
  </si>
  <si>
    <t>23P - Drivers Assistance Package PLUS</t>
  </si>
  <si>
    <t>AMG Drivers Package</t>
  </si>
  <si>
    <t>250 - AMG Drivers Package</t>
  </si>
  <si>
    <t>483 - Dynamic Handling Package</t>
  </si>
  <si>
    <t xml:space="preserve">AP1 - Audio Package </t>
  </si>
  <si>
    <t>CP1 - Comfort Package</t>
  </si>
  <si>
    <t>SLK 200 Options</t>
  </si>
  <si>
    <t>231 - Garage Door Opener</t>
  </si>
  <si>
    <t>246 - Analogue Clock</t>
  </si>
  <si>
    <t>289 - Steering wheel and shifter lever in wood/leather trim</t>
  </si>
  <si>
    <t>412 - Panoramic vario-roof with MAGIC SKY CONTROL</t>
  </si>
  <si>
    <t>415 - Panoramic vario-roof</t>
  </si>
  <si>
    <t>428 - Steering wheel shift paddles</t>
  </si>
  <si>
    <t>527 - COMMAND APS Online Multimedia System</t>
  </si>
  <si>
    <t>537 - DAB+ Digital Radio Tuner</t>
  </si>
  <si>
    <t>584 - THERMOTRONIC automatic climate control</t>
  </si>
  <si>
    <t>810 - Harman Kardon Logic 7 Surround Sound</t>
  </si>
  <si>
    <t>877 - Ambient Lighting</t>
  </si>
  <si>
    <t>889 - KEYLESS-GO</t>
  </si>
  <si>
    <t>U25 - Illuminated door sill panels</t>
  </si>
  <si>
    <t>283 - AIRGUIDE transparent turntable draught-stop</t>
  </si>
  <si>
    <t>475 - Tyre pressure monitoring system</t>
  </si>
  <si>
    <t>481 - Sump Shield</t>
  </si>
  <si>
    <t>SLK 200 Wheels</t>
  </si>
  <si>
    <t>37R - 17-inch 5 spoke alloy wheels</t>
  </si>
  <si>
    <t>Tyre Specs</t>
  </si>
  <si>
    <t>F: 225/45 R17 7.5 J x 17 / R: 245/40 R17 8.5J x 17</t>
  </si>
  <si>
    <t>R32 - 18-inch 5 spoke alloy wheels</t>
  </si>
  <si>
    <t>R35 -17-inch 10 spoke alloy wheels</t>
  </si>
  <si>
    <t>R36 - 18-inch 5 spoke alloy wheels in tremolite grey</t>
  </si>
  <si>
    <t>SLK 200 Paint Work</t>
  </si>
  <si>
    <t>040 - Black Non-Metallic</t>
  </si>
  <si>
    <t>149 - Polar White Non-Metallic</t>
  </si>
  <si>
    <t>590 - Fire Opal Non-Metallic</t>
  </si>
  <si>
    <t>197 - Obsidian Black Metallic</t>
  </si>
  <si>
    <t>755 - Tenorite Grey Metallic</t>
  </si>
  <si>
    <t>775 - Iridium Silver Metallic</t>
  </si>
  <si>
    <t>792 - Palladium Silver Metallic</t>
  </si>
  <si>
    <t>890 - Cavansite Blue Metallic</t>
  </si>
  <si>
    <t>963 - Indium Grey Metallic</t>
  </si>
  <si>
    <t>988 - Diamond Silver Metallic</t>
  </si>
  <si>
    <r>
      <t xml:space="preserve">799 -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diamon white bright</t>
    </r>
  </si>
  <si>
    <r>
      <t xml:space="preserve">996 -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hyacinth red metallic</t>
    </r>
  </si>
  <si>
    <t>H73 - AMG Carbon fibre/piano lacquer black trim</t>
  </si>
  <si>
    <t>SLK 200 Interior Trim</t>
  </si>
  <si>
    <t>H76 - Brushed Aluminum Trim (Standard)</t>
  </si>
  <si>
    <t>22 R - 18-inch 5 twin spoke alloy wheels in palladium silver (Standard)</t>
  </si>
  <si>
    <r>
      <t xml:space="preserve">W69 -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Black Piano lacquer trim</t>
    </r>
  </si>
  <si>
    <t>731 - Dark Brown high-sheen burr walnut wood trim</t>
  </si>
  <si>
    <t>736 - Black Ash high-gloss wood trim</t>
  </si>
  <si>
    <r>
      <t xml:space="preserve">Y04 -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seat belt in silver</t>
    </r>
  </si>
  <si>
    <r>
      <t xml:space="preserve">Y05 -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seat belt in red</t>
    </r>
  </si>
  <si>
    <r>
      <t xml:space="preserve">Y41 -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Windscreen frame in anthracite Dinamica</t>
    </r>
  </si>
  <si>
    <r>
      <t xml:space="preserve">Y96 -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Two-tone Leather Steering Wheel</t>
    </r>
  </si>
  <si>
    <t xml:space="preserve">SLK 200 Upholstery </t>
  </si>
  <si>
    <t>201 - Black solar-reflective leather</t>
  </si>
  <si>
    <t>205 - Sahara Beige solar-reflective leather</t>
  </si>
  <si>
    <t>208 - Crystal Grey solar-reflective leather</t>
  </si>
  <si>
    <t>5XX - Exclusive Nappa Leather</t>
  </si>
  <si>
    <t>8XX - Nappa Leather</t>
  </si>
  <si>
    <r>
      <t xml:space="preserve">032-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mystic blue bright</t>
    </r>
  </si>
  <si>
    <r>
      <t xml:space="preserve">033 -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mocha black metallic</t>
    </r>
  </si>
  <si>
    <r>
      <t xml:space="preserve">041 -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graphite metallic</t>
    </r>
  </si>
  <si>
    <r>
      <t xml:space="preserve">044 -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allanite grey magno</t>
    </r>
  </si>
  <si>
    <r>
      <t xml:space="preserve">049 -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cashmere white magno</t>
    </r>
  </si>
  <si>
    <t>SLK 250 Options</t>
  </si>
  <si>
    <t>403 - AIRSCARF neck-level heating system</t>
  </si>
  <si>
    <t>SLK 250 Paint Work</t>
  </si>
  <si>
    <t>SLK 250 Wheels</t>
  </si>
  <si>
    <t xml:space="preserve">22 R - 18-inch 5 twin spoke alloy wheels in palladium silver </t>
  </si>
  <si>
    <t>R36 - 18-inch 5 spoke alloy wheels in tremolite grey (Standard)</t>
  </si>
  <si>
    <t>SLK 250 Interior Trim</t>
  </si>
  <si>
    <t xml:space="preserve">SLK 250 Upholstery </t>
  </si>
  <si>
    <t>SLK 350 Options</t>
  </si>
  <si>
    <t>SLK 350 Paint Work</t>
  </si>
  <si>
    <t>SLK 350 Wheels</t>
  </si>
  <si>
    <t>R32 - 18-inch 5 spoke alloy wheels (Standard)</t>
  </si>
  <si>
    <t xml:space="preserve">R36 - 18-inch 5 spoke alloy wheels in tremolite grey </t>
  </si>
  <si>
    <t>792 - AMG 18-inch 5 spoke alloy wheels titanium grey finish</t>
  </si>
  <si>
    <t>F: 225/40 R18 7.5 J x 18 / R: 245/35 R18 8.5J x 18</t>
  </si>
  <si>
    <t>SLK 350 Interior Trim</t>
  </si>
  <si>
    <t xml:space="preserve">SLK 350 Upholstery </t>
  </si>
  <si>
    <t>SLK 55 AMG Options</t>
  </si>
  <si>
    <t>P30 -AMG Handling Package</t>
  </si>
  <si>
    <t>SLK 55 AMG Paint</t>
  </si>
  <si>
    <t>SLK 55 AMG Wheels</t>
  </si>
  <si>
    <t>760 - AMG 18-inch multi spoke alloy wheels in matt black (Standard)</t>
  </si>
  <si>
    <t>F: 235/40 R18 7.5 J x 18 / R: 255/35 R18 8.5J x 18</t>
  </si>
  <si>
    <t>790 - AMG 18-inch 5 spoke alloy wheels in titanium grey (Standard)</t>
  </si>
  <si>
    <t>796 - AMG 18-inch multi-spoke alloy wheels in titanium grey</t>
  </si>
  <si>
    <t>SLK 55 AMG Interior Trim</t>
  </si>
  <si>
    <t>SLK 55 AMG Upholstery</t>
  </si>
  <si>
    <t>GLA Class</t>
  </si>
  <si>
    <t>4.6L/100km</t>
  </si>
  <si>
    <t>7.0L/100km</t>
  </si>
  <si>
    <t>7.6L/100km</t>
  </si>
  <si>
    <t>GLA 200 CDI Options</t>
  </si>
  <si>
    <t>CM1 - Command Package</t>
  </si>
  <si>
    <t>SC1 - Seat Package</t>
  </si>
  <si>
    <t>SP1 - AMG Line</t>
  </si>
  <si>
    <t>DA1 - Driving Assistance Package</t>
  </si>
  <si>
    <t>GLA 200 CDI Paint Work</t>
  </si>
  <si>
    <t>589 - Jupiter Red Non-Metallic</t>
  </si>
  <si>
    <t>650 - Cirrus White Non-Metallic</t>
  </si>
  <si>
    <t>696 - Night Black Non-Metallic</t>
  </si>
  <si>
    <t>162 - South Seas Blue Metallic</t>
  </si>
  <si>
    <t>191 - Cosmos Black Metallic</t>
  </si>
  <si>
    <t>592 - Northern Lights Violet Metallic</t>
  </si>
  <si>
    <t>761 - Polar Silver Metallic</t>
  </si>
  <si>
    <t>787 - Mountain Grey Metallic</t>
  </si>
  <si>
    <t>894 - Universe Blue Metallic</t>
  </si>
  <si>
    <t>990 - Orient Brown Metallic</t>
  </si>
  <si>
    <t>GLA 200 CDI Wheels</t>
  </si>
  <si>
    <t>R31 - 18-inch 5 Twin-Spoke alloy wheels (Standard)</t>
  </si>
  <si>
    <t>F: 235/50 R18 7.0 J x 18 / R: 235/50 R18 7.0 J x 18</t>
  </si>
  <si>
    <t>R38 - 18-inch 5 Twin-Spoke Alloy Wheels</t>
  </si>
  <si>
    <t>65R - 19-inch 5 Twin-Spoke alloy wheels in Gloss Black</t>
  </si>
  <si>
    <t>F: 235/45 R19 8.0 J x 19 / R: 235/45 R19 8.0 J x 19</t>
  </si>
  <si>
    <t>664 - 19-inch AMG 5 Twin-Spoke Alloy wheels in Gloss Black</t>
  </si>
  <si>
    <t>GLA 200 CDI Trim</t>
  </si>
  <si>
    <t>H50 - Silver Wave Trim</t>
  </si>
  <si>
    <t>H51 - Anthracite Wave Trim</t>
  </si>
  <si>
    <t>H79 - Aluminium Trim with Longitudinal Grain</t>
  </si>
  <si>
    <t xml:space="preserve">AMG Pack </t>
  </si>
  <si>
    <t>GLA 200 CDI Upholstery</t>
  </si>
  <si>
    <t>111 - Black ARTICO Man-Made Leather</t>
  </si>
  <si>
    <t xml:space="preserve">105 - Sahara Beige ARTICO Man-Made Leather </t>
  </si>
  <si>
    <t xml:space="preserve">118 - Crystal Grey ARTICO Man-Made Leather </t>
  </si>
  <si>
    <t>811 - Black RED CUT Leather</t>
  </si>
  <si>
    <t>AMG Pack</t>
  </si>
  <si>
    <t>GLA 250 4MATIC Options</t>
  </si>
  <si>
    <t>GLA 250 4MATIC Paint Work</t>
  </si>
  <si>
    <t>GLA 250 4MATIC Wheels</t>
  </si>
  <si>
    <t>GLA 250 4MATIC Trim</t>
  </si>
  <si>
    <t>GLA 250 4MATIC Upholstery</t>
  </si>
  <si>
    <t>GLA 45 AMG 4MATIC Options</t>
  </si>
  <si>
    <t xml:space="preserve">ED1 - AMG Edition 1 </t>
  </si>
  <si>
    <t>492 - AMG Performance Suspension</t>
  </si>
  <si>
    <t>B26 - AMG Aerodynamic Package</t>
  </si>
  <si>
    <t>GLA 250 45 AMG 4MATIC Paint Work</t>
  </si>
  <si>
    <t>GLA 45 AMG 4MATIC Wheels</t>
  </si>
  <si>
    <t>758 - 20-inch AMG 10 Spoke Alloy Wheels (Standard)</t>
  </si>
  <si>
    <t>F: 235/40 R20 8.0J x 20 / R: 235/40 R20 8.0J x 20</t>
  </si>
  <si>
    <t>778 - 20-inch AMG 10 Spoke Allow Wheels in Matt Black</t>
  </si>
  <si>
    <t>65R - 19-inch 5 Twin-Spoke Alloy Wheels in Gloss Black (Standard)</t>
  </si>
  <si>
    <t xml:space="preserve">R31 - 18-inch 5 Twin-Spoke alloy Wheels </t>
  </si>
  <si>
    <t>688 - 20-inch AMG 10 Spoke Allow Wheels in Matt Black with Red Rim</t>
  </si>
  <si>
    <t>AMG PACK</t>
  </si>
  <si>
    <t>GLA 45 AMG 4MATIC Trim</t>
  </si>
  <si>
    <t>H79 - Aluminium Trim with Longitudinal Grain (Standard)</t>
  </si>
  <si>
    <t>H73 - AMG Carbon-Fibre Trim</t>
  </si>
  <si>
    <t>H88 - AMG Edition 1 Trim</t>
  </si>
  <si>
    <t>GLA 45 AMG 4MATIC Upholstery</t>
  </si>
  <si>
    <t>811 - Black RED CUT Leather (Standard)</t>
  </si>
  <si>
    <t>G Class</t>
  </si>
  <si>
    <t>11.2L/100km</t>
  </si>
  <si>
    <t>14.9L/100km</t>
  </si>
  <si>
    <t>13.8L/100km</t>
  </si>
  <si>
    <t>G 350 BlueTEC Options</t>
  </si>
  <si>
    <t>PP1 - Premium Package</t>
  </si>
  <si>
    <t>PA3 - Exterior Stainless Steel Package</t>
  </si>
  <si>
    <t xml:space="preserve">PA5 - Sports Package </t>
  </si>
  <si>
    <t>ZD6 - Chrome Package</t>
  </si>
  <si>
    <t>EF6 - Digital Radio tuner (DAB+)</t>
  </si>
  <si>
    <t>EM7 - Rear Seat Entertainment</t>
  </si>
  <si>
    <t>EM8 - TV Tuner with digital reception</t>
  </si>
  <si>
    <t>PA1 - Seat Comfort Package</t>
  </si>
  <si>
    <t>PA2 - Rubber Floor Mats</t>
  </si>
  <si>
    <t>YF9 - Garage Door Opener</t>
  </si>
  <si>
    <t>DN1 - Partition Net</t>
  </si>
  <si>
    <t>W72 - Dark tinted glass in rear window and rear screen</t>
  </si>
  <si>
    <t>FZ8 - Anti Theft alarm system</t>
  </si>
  <si>
    <t>G 350 BlueTEC Paint Work</t>
  </si>
  <si>
    <t>Metallic Paint</t>
  </si>
  <si>
    <t>C75 - Chromed Protection Bar</t>
  </si>
  <si>
    <t>D27 - Steel electric tilt/slide sunroof</t>
  </si>
  <si>
    <t>EA2 - Blind Spot Assist</t>
  </si>
  <si>
    <t>EZ9 - DISTRONIC PLUS</t>
  </si>
  <si>
    <r>
      <t xml:space="preserve">designo </t>
    </r>
    <r>
      <rPr>
        <sz val="11"/>
        <color theme="1"/>
        <rFont val="Calibri"/>
        <family val="2"/>
        <scheme val="minor"/>
      </rPr>
      <t>metallic paint</t>
    </r>
  </si>
  <si>
    <r>
      <t xml:space="preserve">designo </t>
    </r>
    <r>
      <rPr>
        <sz val="11"/>
        <color theme="1"/>
        <rFont val="Calibri"/>
        <family val="2"/>
        <scheme val="minor"/>
      </rPr>
      <t>bright paint</t>
    </r>
  </si>
  <si>
    <r>
      <t xml:space="preserve">designo </t>
    </r>
    <r>
      <rPr>
        <sz val="11"/>
        <color theme="1"/>
        <rFont val="Calibri"/>
        <family val="2"/>
        <scheme val="minor"/>
      </rPr>
      <t>magno paint</t>
    </r>
  </si>
  <si>
    <t>G 350 BlueTEC Wheels</t>
  </si>
  <si>
    <t>RL3 - 16-inch 5-spoke alloy wheels (Standard)</t>
  </si>
  <si>
    <t xml:space="preserve">F: 265/70 R16 7.5J x 16 / R: 265/70 R16 7.5J x 16 </t>
  </si>
  <si>
    <t>RM9 - 18-inch twin-spoke alloy wheels (Silver finish)</t>
  </si>
  <si>
    <t>F: 265/70 R18 7.5J x 18 / R: 265/70 R18 7.5J x 18</t>
  </si>
  <si>
    <t>RL5 - 18-inch 5-spoke alloy wheels (Titanium Grey)</t>
  </si>
  <si>
    <t>RL6 - 18-inch 6-spoke high-sheen alloy wheels</t>
  </si>
  <si>
    <t>G 350 BlueTEC Trim</t>
  </si>
  <si>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leather - single tone</t>
    </r>
  </si>
  <si>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DINAMICA roof liner in black</t>
    </r>
  </si>
  <si>
    <r>
      <t xml:space="preserve">designo </t>
    </r>
    <r>
      <rPr>
        <sz val="11"/>
        <color theme="1"/>
        <rFont val="Calibri"/>
        <family val="2"/>
        <scheme val="minor"/>
      </rPr>
      <t>black piano lacquer wood trim</t>
    </r>
  </si>
  <si>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Champagne white piano lacquer wood trim</t>
    </r>
  </si>
  <si>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light brown satin-finish Poplar wood trim</t>
    </r>
  </si>
  <si>
    <t>AMG carbon trim</t>
  </si>
  <si>
    <t>G 350 BlueTEC Upholstery</t>
  </si>
  <si>
    <t>G500 Options</t>
  </si>
  <si>
    <t xml:space="preserve">EF1 - Final Edition </t>
  </si>
  <si>
    <t>G 500 Paint Work</t>
  </si>
  <si>
    <t>G 500 Wheels</t>
  </si>
  <si>
    <t>RM9 - 18-inch twin-spoke alloy wheels (Silver finish)(Standard)</t>
  </si>
  <si>
    <t>G 500 Trim</t>
  </si>
  <si>
    <t>G 500 Upholstery</t>
  </si>
  <si>
    <t>G63 AMG</t>
  </si>
  <si>
    <r>
      <rPr>
        <sz val="11"/>
        <color theme="1"/>
        <rFont val="Calibri"/>
        <family val="2"/>
        <scheme val="minor"/>
      </rPr>
      <t>PA6</t>
    </r>
    <r>
      <rPr>
        <i/>
        <sz val="11"/>
        <color theme="1"/>
        <rFont val="Calibri"/>
        <family val="2"/>
        <scheme val="minor"/>
      </rPr>
      <t xml:space="preserve"> - designo </t>
    </r>
    <r>
      <rPr>
        <sz val="11"/>
        <color theme="1"/>
        <rFont val="Calibri"/>
        <family val="2"/>
        <scheme val="minor"/>
      </rPr>
      <t>Exclusive Package</t>
    </r>
  </si>
  <si>
    <t>E35 - Edition 35</t>
  </si>
  <si>
    <t>G 63 AMG Paint Work</t>
  </si>
  <si>
    <t>G 63 AMG Wheels</t>
  </si>
  <si>
    <t xml:space="preserve">Price </t>
  </si>
  <si>
    <t>F: 275/50 R20 9.5J x 20 / R: 275/50 R20 9.5J</t>
  </si>
  <si>
    <t>R10 - 20-inch AMG 5-twin spoke alloy wheels (titanium grey)</t>
  </si>
  <si>
    <t>R11 - 20-inch AMG 5-twin spoke alloy wheels (matt black) (Standard)</t>
  </si>
  <si>
    <t>G 63 AMG Trim</t>
  </si>
  <si>
    <r>
      <t xml:space="preserve">designo </t>
    </r>
    <r>
      <rPr>
        <sz val="11"/>
        <color theme="1"/>
        <rFont val="Calibri"/>
        <family val="2"/>
        <scheme val="minor"/>
      </rPr>
      <t>black piano lacquer wood trim (Standard)</t>
    </r>
  </si>
  <si>
    <t>G 63 AMG Upholstery</t>
  </si>
  <si>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leather - single tone (Standard)</t>
    </r>
  </si>
  <si>
    <t>CLA Class</t>
  </si>
  <si>
    <t>5.7L/100km</t>
  </si>
  <si>
    <t>4.2L/100km</t>
  </si>
  <si>
    <t>6.6L/100km</t>
  </si>
  <si>
    <t>CLA 200 Options</t>
  </si>
  <si>
    <t>SC1 - Seat Comfort Package</t>
  </si>
  <si>
    <t>NP1 - Night Package</t>
  </si>
  <si>
    <t xml:space="preserve">EX1 - Exclusive Package </t>
  </si>
  <si>
    <t>AX1 - AMG Exclusive Package</t>
  </si>
  <si>
    <t>413 - Panoramic Electric Sunroof</t>
  </si>
  <si>
    <t>877 - Ambient Lighting (multi colour)</t>
  </si>
  <si>
    <t>CLA 200 Paint Work</t>
  </si>
  <si>
    <t>CLA 200 Wheels</t>
  </si>
  <si>
    <t>NIGHT PACK</t>
  </si>
  <si>
    <t>F: 225/40 R18 7.5 J x 18 / R: 245/35 R18 7.5J x 18</t>
  </si>
  <si>
    <t>01R - 18-inch 5 Twin-Spoke alloy wheels Bi-Colour Black</t>
  </si>
  <si>
    <t>781 - 18-inch 5 Twin-Spoke alloy wheels Bi-Colour Black</t>
  </si>
  <si>
    <t>646 - 18-inch AMG Multi-Spoke Alloy Wheels in Black</t>
  </si>
  <si>
    <t>CLA200 Trim</t>
  </si>
  <si>
    <t>739 - Aluminium Trim with Trapeze Cut</t>
  </si>
  <si>
    <t>Exclusive Pack</t>
  </si>
  <si>
    <t>H50 - Silver Wave Trim (Standard)</t>
  </si>
  <si>
    <t>CLA 200 Upholstery</t>
  </si>
  <si>
    <t>151 - Black ARTICO Man-Made Leather</t>
  </si>
  <si>
    <t xml:space="preserve">155 - Sahara Beige ARTICO Man-Made Leather </t>
  </si>
  <si>
    <t xml:space="preserve">158 - Crystal Grey ARTICO Man-Made Leather </t>
  </si>
  <si>
    <t>651 - Black ARTICO Man-Made Leather / DINAMICA</t>
  </si>
  <si>
    <t>801 - Black Leather</t>
  </si>
  <si>
    <t>804 - Nut Brown Leather</t>
  </si>
  <si>
    <t xml:space="preserve">808 - Crystal Grey Leather </t>
  </si>
  <si>
    <t>AMG Exclusive Pack</t>
  </si>
  <si>
    <t>CLA 200 CDI Options</t>
  </si>
  <si>
    <t>CLA 200 CDI Paint Work</t>
  </si>
  <si>
    <t>CLA 200 CDI Wheels</t>
  </si>
  <si>
    <t>CLA200 CDI Trim</t>
  </si>
  <si>
    <t>CLA 200 CDI Upholstery</t>
  </si>
  <si>
    <t>CLA 250 Sport Options</t>
  </si>
  <si>
    <t>CLA 250 Sport Paint Work</t>
  </si>
  <si>
    <t>CLA 250 Sport Wheels</t>
  </si>
  <si>
    <t>774 - 18-inch AMG 5 Spoke Alloy Wheels Bi Colour Black (Standard)</t>
  </si>
  <si>
    <t>F: 235/40 R18 8.0 J x 18 / R: 255/35 R18 8.0J x 18</t>
  </si>
  <si>
    <t>693 - 19-inch AMG Multi-Spoke Alloy Wheels in Black</t>
  </si>
  <si>
    <t>F: 235/35 R19 8.0 J x 19 / R: 235/35 R19 8.0 J x 19</t>
  </si>
  <si>
    <t>CLA 45 AMG Options</t>
  </si>
  <si>
    <t>CLA 45 AMG Paint Work</t>
  </si>
  <si>
    <t>CLA 45 AMG Wheels</t>
  </si>
  <si>
    <t>649 - 18-inch 5 Twin-Spoke Alloy Wheels</t>
  </si>
  <si>
    <t>780 - 19-inch AMG Multi-Spoke Alloy Wheels (Standard)</t>
  </si>
  <si>
    <t>787 - 19-inch AMG Multi-Spoke Alloy Wheels in Matt Black</t>
  </si>
  <si>
    <t>CLA 45 AMG Trim</t>
  </si>
  <si>
    <t>CLA 250 Sport Trim</t>
  </si>
  <si>
    <t>CLA 250 Sport Upholstery</t>
  </si>
  <si>
    <t>CLA 45 AMG Upholstery</t>
  </si>
  <si>
    <t>A Class</t>
  </si>
  <si>
    <t>A 200</t>
  </si>
  <si>
    <t>A 200 CDI</t>
  </si>
  <si>
    <t>A 250 Sport</t>
  </si>
  <si>
    <t>A 45 AMG 4MATIC</t>
  </si>
  <si>
    <t>5.8L/100km</t>
  </si>
  <si>
    <t>6.1L/100km</t>
  </si>
  <si>
    <t>4.0L/100km</t>
  </si>
  <si>
    <t>6.9L/100km</t>
  </si>
  <si>
    <t>A 180 Options</t>
  </si>
  <si>
    <t>VP1 - Vision Package</t>
  </si>
  <si>
    <t>509 - Becker MAP PILOT Navigation</t>
  </si>
  <si>
    <t>A 200 Options</t>
  </si>
  <si>
    <t>A 200 CDI Options</t>
  </si>
  <si>
    <t>A 250 Sport Options</t>
  </si>
  <si>
    <t xml:space="preserve">A 45 AMG Options </t>
  </si>
  <si>
    <t>A 180 Paint Work</t>
  </si>
  <si>
    <t>A 200 Paint Work</t>
  </si>
  <si>
    <t>A 200 CDI Paint Work</t>
  </si>
  <si>
    <t>A 250 Sport Paint Work</t>
  </si>
  <si>
    <t>A 45 AMG Paint Work</t>
  </si>
  <si>
    <t>A 180 Wheels</t>
  </si>
  <si>
    <t>A 200 Wheels</t>
  </si>
  <si>
    <t>R38 - 18-inch 5 Twin-Spoke Alloy Wheels (Standard)</t>
  </si>
  <si>
    <t>A 200 CDI Wheels</t>
  </si>
  <si>
    <t>A 250 Sport Wheels</t>
  </si>
  <si>
    <t>A 45 AMG Wheels</t>
  </si>
  <si>
    <t>A 180 Trim</t>
  </si>
  <si>
    <t>Matrix Trim</t>
  </si>
  <si>
    <t xml:space="preserve">Carbon Fibre Look Trim </t>
  </si>
  <si>
    <t>A 200 Trim</t>
  </si>
  <si>
    <t>Black Diamond Trim (Standard)</t>
  </si>
  <si>
    <t>Crystal Grey Diamond Trim (Standard)</t>
  </si>
  <si>
    <t>Black Exclusive Trim</t>
  </si>
  <si>
    <t>Crystal Grey Exclusive Trim</t>
  </si>
  <si>
    <t>Nut Brown Exclusive Trim</t>
  </si>
  <si>
    <t>A 200 CDI Trim</t>
  </si>
  <si>
    <t>A 250 Sport Trim</t>
  </si>
  <si>
    <t>Carbon Fibre Look Trim (Standard)</t>
  </si>
  <si>
    <t>A 45 AMG Trim</t>
  </si>
  <si>
    <t>A 200 Upholstery</t>
  </si>
  <si>
    <t xml:space="preserve">451 - Black Messancy Fabric / ARTICO Man-Made Leather (Standard) </t>
  </si>
  <si>
    <t>A 180 Upholstery</t>
  </si>
  <si>
    <t xml:space="preserve">455 - Black White Messancy Fabric / ARTICO Man-Made Leather (Standard) </t>
  </si>
  <si>
    <t xml:space="preserve">651 - Black DINAMICA Microfibre / ARTICO Man-Made Leather </t>
  </si>
  <si>
    <t>361 - Black Larochette Fabric / ARTICO Man-Made Leather (Standard)</t>
  </si>
  <si>
    <t>368 - Crystal Grey Larochette Fabric / ARTICO Man-Made Leather (Standard)</t>
  </si>
  <si>
    <t>A 200 CDI Upholstery</t>
  </si>
  <si>
    <t xml:space="preserve">A 250 Sport Upholstery </t>
  </si>
  <si>
    <t>651 - Black ARTICO Man-Made Leather / DINAMICA (Standard)</t>
  </si>
  <si>
    <t>A 45 AMG Upholstery</t>
  </si>
  <si>
    <t>V Class</t>
  </si>
  <si>
    <t>V 250 BlueTEC AVANTGARDE</t>
  </si>
  <si>
    <t>6.3L/100km</t>
  </si>
  <si>
    <t>V 250 BlueTEC AVANTGARDE Paint Work</t>
  </si>
  <si>
    <t>147 - Arctic White Non-Metallic</t>
  </si>
  <si>
    <t>368 - Flint Grey Metallic</t>
  </si>
  <si>
    <t>526 - Dolomite Brown Metallic</t>
  </si>
  <si>
    <t>744 - Brilliant Silver Mertallic</t>
  </si>
  <si>
    <t>134 - Rock Crystal White Metallic</t>
  </si>
  <si>
    <t>V 250 BlueTEC AVANTGARDE Wheels</t>
  </si>
  <si>
    <t>Tyre Spec</t>
  </si>
  <si>
    <t>RA9 - 18 inch 5 twin-spoke alloy wheels (Standard)</t>
  </si>
  <si>
    <t>F: 245/45 R18 7.5J x 18 ET52 / R: 245/45 R18 7.5J x 18 ET52</t>
  </si>
  <si>
    <t>RL3 - 19 inch 5 twin-spoke alloy wheels</t>
  </si>
  <si>
    <t>V 250 BlueTEC AVANTGARDE Trim</t>
  </si>
  <si>
    <t>FH7 - Anthracite wave-look trim, matt (Standard)</t>
  </si>
  <si>
    <t>FH8 - Dark brown ash wood-trim, high gloss</t>
  </si>
  <si>
    <t>FH9 - Dark anthracite ebony wood-look trim, high gloss (Standard with Leather)</t>
  </si>
  <si>
    <t>V 250 BlueTEC AVANTGARDE Upholstery</t>
  </si>
  <si>
    <t>VX7 - Black Lugano Leather (Standard)</t>
  </si>
  <si>
    <t>VX9 - Black/Silk Beige Lugano Leather (Standard)</t>
  </si>
  <si>
    <t xml:space="preserve">VY7 - Black Nappa Leather </t>
  </si>
  <si>
    <t xml:space="preserve">AVANTGARDE PACK </t>
  </si>
  <si>
    <t xml:space="preserve">VY9 - Black/Silk Beige Nappa Leather </t>
  </si>
  <si>
    <t xml:space="preserve">VD7 - Head Lining in black fabric </t>
  </si>
  <si>
    <t>SL- Class Roadster</t>
  </si>
  <si>
    <t>SL 400</t>
  </si>
  <si>
    <t>SL 500</t>
  </si>
  <si>
    <t>AMG SL 63</t>
  </si>
  <si>
    <t>AMG SL 65</t>
  </si>
  <si>
    <t>7.8L/100km</t>
  </si>
  <si>
    <t>9.4L/100km</t>
  </si>
  <si>
    <t>10.2L/100km</t>
  </si>
  <si>
    <t>11.7L/100km</t>
  </si>
  <si>
    <t xml:space="preserve">SL 400 Options </t>
  </si>
  <si>
    <t>950 - AMG Line</t>
  </si>
  <si>
    <t xml:space="preserve">P93 - MILLE MIGLIA 417 Special Model </t>
  </si>
  <si>
    <t>432 - Active Mulicontour Seat Package</t>
  </si>
  <si>
    <t>811 - Bang &amp; Olufsen BeoSound AMG Sound System</t>
  </si>
  <si>
    <t>867 - SPLITVIEW viewing angle dependent display</t>
  </si>
  <si>
    <r>
      <t xml:space="preserve">Y04 -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seat belts - Silver</t>
    </r>
  </si>
  <si>
    <t>Y05 - designo seat belts - Red</t>
  </si>
  <si>
    <r>
      <t xml:space="preserve">Y41 -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DINAMICA roof lining - Black</t>
    </r>
  </si>
  <si>
    <r>
      <t xml:space="preserve">Y42 -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DINAMICA roof lining - Ginger Beige</t>
    </r>
  </si>
  <si>
    <r>
      <t xml:space="preserve">Y44 -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DINAMICA roof lining - Crystal Grey</t>
    </r>
  </si>
  <si>
    <r>
      <t xml:space="preserve">Y73 -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Leather roof lining - Black</t>
    </r>
  </si>
  <si>
    <r>
      <t xml:space="preserve">Y74 -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Leather roof lining - Ginger Beige</t>
    </r>
  </si>
  <si>
    <r>
      <t xml:space="preserve">Y75 -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Leather roof lining - Crystal Grey</t>
    </r>
  </si>
  <si>
    <t>Y90 - Fabric headlining - Black</t>
  </si>
  <si>
    <r>
      <t xml:space="preserve">Y96 -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two-tone leather steering wheel</t>
    </r>
  </si>
  <si>
    <t>485 - Omission of lowered sports suspension</t>
  </si>
  <si>
    <t>AMG Line</t>
  </si>
  <si>
    <t>487 - Active Body Control (ABC)</t>
  </si>
  <si>
    <t>610 - Night View Assist Plus</t>
  </si>
  <si>
    <t>883 - Power Closing Doors</t>
  </si>
  <si>
    <t>SL 500 Options</t>
  </si>
  <si>
    <t>AMG SL 63 Options</t>
  </si>
  <si>
    <t>255 - AMG Performance Media</t>
  </si>
  <si>
    <t>486 - AMG Performance Suspension</t>
  </si>
  <si>
    <t>773 - AMG carbon-fibre exterior styling</t>
  </si>
  <si>
    <t>B07 - AMG high-performance ceramic composite braking</t>
  </si>
  <si>
    <t>U46 - Omission of rear boot lid spoiler</t>
  </si>
  <si>
    <t xml:space="preserve">AMG SL 65 Options </t>
  </si>
  <si>
    <t>183 - Magnetite Black Metallic</t>
  </si>
  <si>
    <t>992 - Selenite Grey Metallic</t>
  </si>
  <si>
    <r>
      <t xml:space="preserve">281 -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cerrusite grey magno</t>
    </r>
  </si>
  <si>
    <r>
      <t xml:space="preserve">799 -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diamond white bright</t>
    </r>
  </si>
  <si>
    <t>SL- Class Roadster  Paint Work</t>
  </si>
  <si>
    <t>SL 400 Wheels</t>
  </si>
  <si>
    <t>R70 - 18-inch 5 Twin-Spoke Alloy Wheels (Standard)</t>
  </si>
  <si>
    <t>F: 255/40 R18 8.5 J x 18 - ET35.5 / R: 285/35 R18 9.5J x 18 ET47.5</t>
  </si>
  <si>
    <t>R17 - 19-inch 5 Twin-Spoke Alloy Wheels</t>
  </si>
  <si>
    <t>11R - 19-inch Multi-Spoke Alloy Wheels</t>
  </si>
  <si>
    <t>697 - 19/20 inch AMG 10 spoke forged alloy wheels</t>
  </si>
  <si>
    <t xml:space="preserve">Mille Miglia Pack </t>
  </si>
  <si>
    <t>F: 255/35 R19 8.5 J x 19 - ET35.5 / R: 285/30 R19 9.5J x 19 ET47.5</t>
  </si>
  <si>
    <t>F: 255/35 R19 9 J x 19- ET27 / R: 285/30 R20 10J x 20 ET48</t>
  </si>
  <si>
    <t>770 - 19-inch AMG 5 spoke alloy wheels</t>
  </si>
  <si>
    <t>F: 255/35 R19 8.5 J x 19 - ET35.5 / R: 285/30 R19 9.5J x 19 ET48</t>
  </si>
  <si>
    <t>SL 500 Wheels</t>
  </si>
  <si>
    <t>R17 - 19-inch 5 Twin-Spoke Alloy Wheels (Standard)</t>
  </si>
  <si>
    <t>662 - 19-inch AMG 7 Twin-Spoke Alloy Wheels</t>
  </si>
  <si>
    <t>785 - 19-inch AMG 7 twin-spoke Alloy Wheels</t>
  </si>
  <si>
    <t>AMG SL 63 Wheels</t>
  </si>
  <si>
    <t>766 -19/20-inch AMG 10 spoke forged alloy wheels in Matt Black</t>
  </si>
  <si>
    <t>767 - 19/20-inch AMG 10 spoke forged alloy wheels in Titanium Grey</t>
  </si>
  <si>
    <t>793 - 19-inch AMG 5 twin-spoke Alloy Wheels (Standard)</t>
  </si>
  <si>
    <t>F: 255/35 R19 9 J x 19- ET27 / R: 285/30 R19 10J x 19 ET48</t>
  </si>
  <si>
    <t>AMG SL 65 Wheels</t>
  </si>
  <si>
    <t>797 - 19-inch AMG 5 spoke forged alloy wheels (Standard)</t>
  </si>
  <si>
    <t>SL 400 Trim</t>
  </si>
  <si>
    <t>729 - Light brown Poplar wood trim</t>
  </si>
  <si>
    <t>731 - Brown burr Walnut wood trim</t>
  </si>
  <si>
    <t>736 - Black Ash wood trim</t>
  </si>
  <si>
    <t>739 - Longitudinal-grain aluminium trim</t>
  </si>
  <si>
    <t>739 - Longitudinal-grain aluminium trim (Standard)</t>
  </si>
  <si>
    <t xml:space="preserve">H73 - Carbon Fibre Look Trim </t>
  </si>
  <si>
    <t>H76 - Dark longitudinal-grain aluminium trim</t>
  </si>
  <si>
    <r>
      <t xml:space="preserve">W26 -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Natural bamboo wood trim</t>
    </r>
  </si>
  <si>
    <r>
      <t xml:space="preserve">W69 -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Black piano lacquer wood trim</t>
    </r>
  </si>
  <si>
    <r>
      <t xml:space="preserve">W70 -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Champagne white piano lacquer wood trim</t>
    </r>
  </si>
  <si>
    <t>SL 500 Trim</t>
  </si>
  <si>
    <t xml:space="preserve">739 - Longitudinal-grain aluminium trim </t>
  </si>
  <si>
    <t>731 - Brown burr Walnut wood trim (Standard)</t>
  </si>
  <si>
    <t>AMG SL 63 Trim</t>
  </si>
  <si>
    <t xml:space="preserve">731 - Brown burr Walnut wood trim </t>
  </si>
  <si>
    <t>H73 - Carbon Fibre Look Trim (Standard)</t>
  </si>
  <si>
    <t>AMG SL 65 Trim</t>
  </si>
  <si>
    <t>SL 400 Upholstery</t>
  </si>
  <si>
    <t>207 - Bengal Red Leather</t>
  </si>
  <si>
    <t>201 - Black leather</t>
  </si>
  <si>
    <t>205 - Ginger Beige/Espresso Brown Leather</t>
  </si>
  <si>
    <t>208 - Crystal Grey leather</t>
  </si>
  <si>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Exclusive leather - single tone</t>
    </r>
  </si>
  <si>
    <t>SL 500 Upholstery</t>
  </si>
  <si>
    <t>8XX - Nappa Leather (Standard)</t>
  </si>
  <si>
    <t>AMG SL 63 Upholstery</t>
  </si>
  <si>
    <t>AMG SL 65 Upholstery</t>
  </si>
  <si>
    <t>5XX - Exclusive Nappa Leather (Standard)</t>
  </si>
  <si>
    <t>S-Class Saloon</t>
  </si>
  <si>
    <t>S 300 h</t>
  </si>
  <si>
    <t>S 350 d</t>
  </si>
  <si>
    <t>4.5L/100km</t>
  </si>
  <si>
    <t>6.0L/100km</t>
  </si>
  <si>
    <t>9.2L/100km</t>
  </si>
  <si>
    <t>S 300 h Options</t>
  </si>
  <si>
    <t>S 350 d L</t>
  </si>
  <si>
    <t>S 400 L</t>
  </si>
  <si>
    <t>S 500 L</t>
  </si>
  <si>
    <t>AMG S 63 L</t>
  </si>
  <si>
    <t>S 600 L</t>
  </si>
  <si>
    <t>AMG S 65 L</t>
  </si>
  <si>
    <t>7.9L/100km</t>
  </si>
  <si>
    <t>10.3L/100km</t>
  </si>
  <si>
    <t>11.3L/100km</t>
  </si>
  <si>
    <t>11.9L/100km</t>
  </si>
  <si>
    <t>432 - Front Seat Comfort Package</t>
  </si>
  <si>
    <t>EP1 - Front Seat Entertainment Package</t>
  </si>
  <si>
    <t>VS1 - Vision and Sound Package</t>
  </si>
  <si>
    <t>P35 - LED Intelligent Light System</t>
  </si>
  <si>
    <t>P34 - Exclusive Package</t>
  </si>
  <si>
    <t>P09 - Sun Protection Package</t>
  </si>
  <si>
    <t>P21 - AIR-BALANCE Package</t>
  </si>
  <si>
    <t>P36 - PRE-SAFE Rear Package</t>
  </si>
  <si>
    <t>P43 - Rear Seat Comfort Package</t>
  </si>
  <si>
    <t>P46 - Rear Entertainment System</t>
  </si>
  <si>
    <t>P54 - Anti-theft Protection Package</t>
  </si>
  <si>
    <t>P69 - Warmth Comfort Package</t>
  </si>
  <si>
    <t>BC1 - Business Class Package</t>
  </si>
  <si>
    <t>223 - Electrically adjustable rear seats</t>
  </si>
  <si>
    <t>314 - 3 spoke multi-function wood/leather sports steering wheel</t>
  </si>
  <si>
    <t>308 - Refridgerated Compartment in Rear</t>
  </si>
  <si>
    <t>448 - Touchpad</t>
  </si>
  <si>
    <t>463 - Head-Up Display</t>
  </si>
  <si>
    <t>582 - THERMOTRONIC rear climate control</t>
  </si>
  <si>
    <t>811 - Burmester High End 3D Surround Sound System</t>
  </si>
  <si>
    <t>840 - Heat Insulating Dark Tinted Glass</t>
  </si>
  <si>
    <t>884 -Additional Boot Lid Lock including assisted closing</t>
  </si>
  <si>
    <t>S 350 d Options</t>
  </si>
  <si>
    <t xml:space="preserve">S 350 d L Options </t>
  </si>
  <si>
    <t>224 - Individual Rear Seats</t>
  </si>
  <si>
    <t xml:space="preserve">S 400 L Options </t>
  </si>
  <si>
    <t xml:space="preserve">S 500 Options </t>
  </si>
  <si>
    <t xml:space="preserve">S 500 L Options </t>
  </si>
  <si>
    <t xml:space="preserve">AMG S 63 Options </t>
  </si>
  <si>
    <t>250 - AMG Driver's Package</t>
  </si>
  <si>
    <t>773 - Exterior AMG Carbon fibre package</t>
  </si>
  <si>
    <t>481 - Underbody Protection</t>
  </si>
  <si>
    <t>487 - MAGIC BODY CONTROL</t>
  </si>
  <si>
    <t>B06 - Grey painted brake calipers</t>
  </si>
  <si>
    <t>B14 - AMG Carbon fibre engine cover</t>
  </si>
  <si>
    <t>B07 - AMG high performance ceramic composite braking</t>
  </si>
  <si>
    <t xml:space="preserve">S 600 L Options </t>
  </si>
  <si>
    <t>5U2 - Air inlet griles and flics</t>
  </si>
  <si>
    <t>S-Class Saloon  Paint Work</t>
  </si>
  <si>
    <t>474 - Peridot Brown Metallic</t>
  </si>
  <si>
    <t>897 - Ruby Black Metallic</t>
  </si>
  <si>
    <t>989 - Emerald Green Metallic</t>
  </si>
  <si>
    <t xml:space="preserve">998 - Anthracite Blue Metallic </t>
  </si>
  <si>
    <t>S 300 h Wheels</t>
  </si>
  <si>
    <t>F: 245/45 R19 8.5 J x 19 - ET36 / R: 275/40 R19 9.5J x 19 ET43.5</t>
  </si>
  <si>
    <t>12R - 19 inch 7 Triple Spoke Alloy Wheels</t>
  </si>
  <si>
    <t>13R - 20 inch Multi Spoke Alloy Wheels (Thulium Silver)</t>
  </si>
  <si>
    <t>F: 245/40 R 20 on 8.5J x 20 - ET36 / R: 275/35 R 20 on 9.5J x 20 ET43.5</t>
  </si>
  <si>
    <t xml:space="preserve">R17 - 19-inch 5 Twin-Spoke Alloy Wheels </t>
  </si>
  <si>
    <t>F: 245/50 R18 8 J x 18 - ET41 / R: 275/45 R18 9.5J x 18 ET43.5</t>
  </si>
  <si>
    <t>769 - 20 inch AMG Multi Spoke Alloy Wheels</t>
  </si>
  <si>
    <t>F: 245/40 R 20 on 8.5J x 20 - ET38 / R: 275/35 R 20 on 9.5J x 20 ET38</t>
  </si>
  <si>
    <t>793 - 19 inch AMG 5 Tewin Spoke Alloy Wheels</t>
  </si>
  <si>
    <t>AMG LINE</t>
  </si>
  <si>
    <t>F: 245/45 R19 8.5 J x 19 - ET38 / R: 275/40 R19 9.5J x 19 ET38</t>
  </si>
  <si>
    <t>S 350 d Wheels</t>
  </si>
  <si>
    <t>S 350 d L Wheels</t>
  </si>
  <si>
    <t>S 400 L Wheels</t>
  </si>
  <si>
    <t xml:space="preserve">R70 - 18-inch 5 Twin-Spoke Alloy Wheels </t>
  </si>
  <si>
    <t>53R - 20 inch 5 Spoke Alloy Wheels</t>
  </si>
  <si>
    <t>F: 245/40 R 20 on 8.5J x 20 - ET36.5 / R: 275/35 R 20 on 9.5J x 20 ET44</t>
  </si>
  <si>
    <t>S 500 Wheels</t>
  </si>
  <si>
    <t>53R - 20 inch 5 Spoke Alloy Wheels (Standard)</t>
  </si>
  <si>
    <t>S 500 L Wheels</t>
  </si>
  <si>
    <t>AMG S 63 Wheels</t>
  </si>
  <si>
    <t>647 - 20 inch AMG 10 Spoke Forged Alloy Wheels (Titanium grey)</t>
  </si>
  <si>
    <t>F: 255/40 R 20 on 8.5J x 20 ET39 / R: 285/35 R 20 on 9.5J x 20 ET39</t>
  </si>
  <si>
    <t>648 - 20 inch AMG 10 Spoke Forged Alloy Wheels (Matt black)</t>
  </si>
  <si>
    <t>753 - 20 inch AMG 5 Twin Spoke Alloy Wheels (Standard)</t>
  </si>
  <si>
    <t>AMG S 63 L Wheels</t>
  </si>
  <si>
    <t>S 600 L Wheels</t>
  </si>
  <si>
    <t>10R - 19 inch Multi Twin Spoke Alloy Wheels (Standard)</t>
  </si>
  <si>
    <t xml:space="preserve">53R - 20 inch 5 Spoke Alloy Wheels </t>
  </si>
  <si>
    <t>AMG S 65 L Wheels</t>
  </si>
  <si>
    <t xml:space="preserve">753 - 20 inch AMG 5 Twin Spoke Alloy Wheels </t>
  </si>
  <si>
    <t>696 - 20 inch AMG Multi-spoke Forged Alloy Wheels Ceramic Polished (Standard)</t>
  </si>
  <si>
    <t>S 300 h Trim</t>
  </si>
  <si>
    <r>
      <t xml:space="preserve">727 -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sunburst Brown Myrtle high gloss wood trim</t>
    </r>
  </si>
  <si>
    <t>734 - Dark Brown Eucalyptus high gloss wood trim</t>
  </si>
  <si>
    <r>
      <t xml:space="preserve">H06 -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Metallised Ash wood trim</t>
    </r>
  </si>
  <si>
    <t>H10 - AMG Carbon Fibre/Black piano lacquer trim</t>
  </si>
  <si>
    <r>
      <t xml:space="preserve">H21 - </t>
    </r>
    <r>
      <rPr>
        <i/>
        <sz val="11"/>
        <color theme="1"/>
        <rFont val="Calibri"/>
        <family val="2"/>
        <scheme val="minor"/>
      </rPr>
      <t>designo</t>
    </r>
    <r>
      <rPr>
        <sz val="11"/>
        <color theme="1"/>
        <rFont val="Calibri"/>
        <family val="2"/>
        <scheme val="minor"/>
      </rPr>
      <t xml:space="preserve"> black piano lacquer trim</t>
    </r>
  </si>
  <si>
    <t>734 - Dark Brown Eucalyptus high gloss wood trim (Standard)</t>
  </si>
  <si>
    <t>S 350 d Trim</t>
  </si>
  <si>
    <t>S 350 d L Trim</t>
  </si>
  <si>
    <t>S 400 L Trim</t>
  </si>
  <si>
    <t>S 500 Trim</t>
  </si>
  <si>
    <t>S 500 L Trim</t>
  </si>
  <si>
    <t>AMG S 63 Trim</t>
  </si>
  <si>
    <t>AMG S 63 L Trim</t>
  </si>
  <si>
    <t>S 600 L Trim</t>
  </si>
  <si>
    <t xml:space="preserve">729 - Black Poplar high gloss trim </t>
  </si>
  <si>
    <t>729 - Black Poplar high gloss trim (Standard)</t>
  </si>
  <si>
    <t>AMG S 65 L Trim</t>
  </si>
  <si>
    <t>S 300 h Upholstery</t>
  </si>
  <si>
    <t>205 - Silk Beige/Espresso Brown Leather</t>
  </si>
  <si>
    <t>208 - Seashell Grey leather</t>
  </si>
  <si>
    <t>214 - Black/Nut Brown leather</t>
  </si>
  <si>
    <t>801 - Black Nappa Leather</t>
  </si>
  <si>
    <t>805 - Silk Beige/Espresso Brown Nappa Leather</t>
  </si>
  <si>
    <t xml:space="preserve">808 - Seashell Grey/Crystal Grey Leather </t>
  </si>
  <si>
    <t>814 - Black/Nut Brown Nappa Leather</t>
  </si>
  <si>
    <t>815 - Black/Porcelian Nappa Leather</t>
  </si>
  <si>
    <t>501 - Black Exclusive Nappa Leather</t>
  </si>
  <si>
    <t>502 - Deep Sea Blue/Silk Beige Exclusive Nappa Leather</t>
  </si>
  <si>
    <t>505 - Espresso Brown/Silk Beige Exclusive Nappa Leather</t>
  </si>
  <si>
    <t xml:space="preserve">508 - Seashell Grey/Crystal Grey Exclusive Nappa Leather </t>
  </si>
  <si>
    <t>514 - Black/Porcelian Exclusive Nappa Leather</t>
  </si>
  <si>
    <r>
      <t xml:space="preserve">965 -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Exclusive semi-aniline leather silk beige/titanium grey pearl</t>
    </r>
  </si>
  <si>
    <r>
      <t xml:space="preserve">975 -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Exclusive semi-aniline leather silk beige/Satin Red pearl</t>
    </r>
  </si>
  <si>
    <t>S 350 d Upholstery</t>
  </si>
  <si>
    <t>S 350 d L Upholstery</t>
  </si>
  <si>
    <t>S 400 L Upholstery</t>
  </si>
  <si>
    <t>S 500 Upholstery</t>
  </si>
  <si>
    <t>S 500 L Upholstery</t>
  </si>
  <si>
    <t>S 600 L Upholstery</t>
  </si>
  <si>
    <t>864 - Black/Nut Brown Nappa Leather</t>
  </si>
  <si>
    <t>851 - Black Nappa Leather</t>
  </si>
  <si>
    <t>855 - Espresso Brown/Silk Beige Nappa Leather</t>
  </si>
  <si>
    <t xml:space="preserve">858 - Seashell Grey/Crystal Grey Nappa Leather </t>
  </si>
  <si>
    <t>561 - Black Exclusive Nappa Leather</t>
  </si>
  <si>
    <t>565 - Espresso Brown/Silk Beige Exclusive Nappa Leather</t>
  </si>
  <si>
    <t xml:space="preserve">568 - Seashell Grey/Crystal Grey Exclusive Nappa Leather </t>
  </si>
  <si>
    <t>584 - Black/Nut Brown Exclusive Nappa Leather</t>
  </si>
  <si>
    <t>585 - Black/Porcelian Exclusive Nappa Leather</t>
  </si>
  <si>
    <r>
      <t xml:space="preserve">985 -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Exclusive semi-aniline leather silk beige/titanium grey pearl</t>
    </r>
  </si>
  <si>
    <r>
      <t xml:space="preserve">995 -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Exclusive semi-aniline leather silk beige/Satin Red pearl</t>
    </r>
  </si>
  <si>
    <t xml:space="preserve">Exclusive Pack </t>
  </si>
  <si>
    <t>AMG S 63 Upholstery</t>
  </si>
  <si>
    <t>AMG S 63 L Upholstery</t>
  </si>
  <si>
    <t>AMG S 65 L Upholstery</t>
  </si>
  <si>
    <t>865 - Black/Porcelian Nappa Leather</t>
  </si>
  <si>
    <r>
      <t xml:space="preserve">61U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headlining in black DINAMICA microfibre</t>
    </r>
  </si>
  <si>
    <r>
      <t xml:space="preserve">65U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headlining in porcelian DINAMICA microfibre</t>
    </r>
  </si>
  <si>
    <r>
      <t xml:space="preserve">68U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headlining in crystal grey DINAMICA microfibre</t>
    </r>
  </si>
  <si>
    <t>S-Class Saloon Headlining</t>
  </si>
  <si>
    <t>AMG S 65 L Headlining</t>
  </si>
  <si>
    <t>71U AMG headlining in black nappa leather</t>
  </si>
  <si>
    <t>75U AMG headlining in porcelain nappa leather</t>
  </si>
  <si>
    <t>78U AMG headlining in Crystal Grey nappa leather</t>
  </si>
  <si>
    <t>S-Class Coupe</t>
  </si>
  <si>
    <t>AMG S 65</t>
  </si>
  <si>
    <t>8.6L/100km</t>
  </si>
  <si>
    <t>12.0L/100km</t>
  </si>
  <si>
    <t>398 - Panoramic roof with MAGIC SKY CONTROL</t>
  </si>
  <si>
    <t>5U5 - LED Intelligent Light System with Swarovski Crystals</t>
  </si>
  <si>
    <t>773 - Exterior AMG Carbon Fibre Package</t>
  </si>
  <si>
    <t>314 - Multi-function Wood/Leather sports steering wheel</t>
  </si>
  <si>
    <t xml:space="preserve">AMG S 65 Options </t>
  </si>
  <si>
    <t>63R - 19 inch Multi Spoke Alloy Wheels</t>
  </si>
  <si>
    <t>AMG S 65 Wheels</t>
  </si>
  <si>
    <t>S-Class Coupe  Paint Work</t>
  </si>
  <si>
    <t>AMG S 65 Trim</t>
  </si>
  <si>
    <t xml:space="preserve">818 - Black/Crystal Grey Nappa Leather </t>
  </si>
  <si>
    <r>
      <t xml:space="preserve">975 -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Exclusive Nappa Leather Deep Sea Blue/Porcelain</t>
    </r>
  </si>
  <si>
    <r>
      <t xml:space="preserve">974 -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Exclusive Nappa Leather Black/Saddle Brown</t>
    </r>
  </si>
  <si>
    <r>
      <t xml:space="preserve">961 -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Exclusive Nappa Leather Black</t>
    </r>
  </si>
  <si>
    <r>
      <t xml:space="preserve">977 -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Exclusive Nappa Leather Black/Bengal Red</t>
    </r>
  </si>
  <si>
    <r>
      <t xml:space="preserve">978 -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Exclusive Nappa Leather Black/Crystal Grey</t>
    </r>
  </si>
  <si>
    <r>
      <t xml:space="preserve">965 -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Exclusive Nappa Leather Espresso Brown/Porcelain</t>
    </r>
  </si>
  <si>
    <t>S 500 Headlining</t>
  </si>
  <si>
    <t>AMG S 63 Headlining</t>
  </si>
  <si>
    <t>AMG S 65 Headlining</t>
  </si>
  <si>
    <t>GL-Class</t>
  </si>
  <si>
    <t>GL 63 AMG</t>
  </si>
  <si>
    <t>7.7L/100km</t>
  </si>
  <si>
    <t>11.5L/100km</t>
  </si>
  <si>
    <t>12.3L/100km</t>
  </si>
  <si>
    <t>GL 350 BlueTEC 'Limited Edition' Options</t>
  </si>
  <si>
    <t>EP3 - Entertainment Package</t>
  </si>
  <si>
    <t>SP1 - AMG Sports Package</t>
  </si>
  <si>
    <t>430- ON &amp; OFF ROAD Package</t>
  </si>
  <si>
    <t>399 - Multi Contour front seats</t>
  </si>
  <si>
    <t>811 - Band &amp; Olufsen BeoSound AMG</t>
  </si>
  <si>
    <t>864 - Rear Entertainment System</t>
  </si>
  <si>
    <t>872 - Heated Outer Rear Seats</t>
  </si>
  <si>
    <t>U09 - ARTICO Dashboard</t>
  </si>
  <si>
    <r>
      <t xml:space="preserve">Y90 -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Fabric roof lining - Black</t>
    </r>
  </si>
  <si>
    <t>DLR - Omission of Side Steps</t>
  </si>
  <si>
    <t>468 - ACTIVE CURVE SYSTEM</t>
  </si>
  <si>
    <t>GL 350 BlueTEC 'Edition S' Options</t>
  </si>
  <si>
    <t>GL 500 'Edition S' Options</t>
  </si>
  <si>
    <t>GL 63 AMG Options</t>
  </si>
  <si>
    <t>281 - AMG performance steering wheel</t>
  </si>
  <si>
    <t>B06 - Silver Painted brake calipers</t>
  </si>
  <si>
    <t>B14 AMG carbon fibre engine cover</t>
  </si>
  <si>
    <t>GL 350 BlueTEC 'Limited Edition' Wheels</t>
  </si>
  <si>
    <t>R33 - 20 inch 5 Twin-Spoke Alloy Wheels</t>
  </si>
  <si>
    <t xml:space="preserve">F: 275/50 R20 8.5J x 20 / R: 275/50 R20 8.5J x 20 </t>
  </si>
  <si>
    <t>R55 - 19-inch 5 Twin-Spoke Alloy Wheels</t>
  </si>
  <si>
    <t xml:space="preserve">F: 275/50 R19 8.5J x 19 / R: 275/50 R19 8.5J x 19 </t>
  </si>
  <si>
    <t>50R - 20 inch 10-Spoke Alloy Wheels (Standard)</t>
  </si>
  <si>
    <t>757 - 21 inch AMG 5 Twin-Spoke Alloy Wheels</t>
  </si>
  <si>
    <t>AMG Sports Pack</t>
  </si>
  <si>
    <t>F: 295/40 R21 10J x 21 / R: 295/40 R21 10J x 21</t>
  </si>
  <si>
    <t>GL 350 BlueTEC 'Edition S' Wheels</t>
  </si>
  <si>
    <t>695 - 21 inch AMG 5 Twin-Spoke Alloy Wheels in Matt Black (Standard)</t>
  </si>
  <si>
    <t>798 - 21 inch AMG 5 Twin-Spoke Alloy Wheels in Titanium Grey</t>
  </si>
  <si>
    <t>GL 500 'Edition S' Wheels</t>
  </si>
  <si>
    <t>GL 63 AMG Wheels</t>
  </si>
  <si>
    <t>777 - 21 inch AMG 5 Spoke Alloy Wheels</t>
  </si>
  <si>
    <t>151 - Cinnabar Red Metallic</t>
  </si>
  <si>
    <t>796 - Citrine Brown Metallic</t>
  </si>
  <si>
    <t>GL-Class Paint Work</t>
  </si>
  <si>
    <t>729 - Dark Graphite Poplar high gloss trim (Standard)</t>
  </si>
  <si>
    <t>H09 - Brown ash open pore wood trim</t>
  </si>
  <si>
    <t>GL 350 BlueTEC 'Edition S' Trim</t>
  </si>
  <si>
    <t>GL 350 BlueTEC 'Limited Edition' Trim</t>
  </si>
  <si>
    <t>GL 500 'Edition S' Trim</t>
  </si>
  <si>
    <t>GL 63 AMG Trim</t>
  </si>
  <si>
    <t>GL 350 and 500 Upholstery</t>
  </si>
  <si>
    <t>205 - Almond Beige Leather</t>
  </si>
  <si>
    <t>208 - Alpaca Grey leather</t>
  </si>
  <si>
    <t>254 - Black/Tobacco Brown/Marron Leather</t>
  </si>
  <si>
    <t>255 - Black/Almond Beige Leather</t>
  </si>
  <si>
    <r>
      <t xml:space="preserve">X06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Exclusive Package - Marron</t>
    </r>
  </si>
  <si>
    <r>
      <t xml:space="preserve">X11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Exclusive Package - Black</t>
    </r>
  </si>
  <si>
    <r>
      <t xml:space="preserve">X27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Exclusive Package - Porcelain</t>
    </r>
  </si>
  <si>
    <t>GL 63 AMG Upholstery</t>
  </si>
  <si>
    <t>E-Class</t>
  </si>
  <si>
    <t>E 200</t>
  </si>
  <si>
    <t>E 220 CDI</t>
  </si>
  <si>
    <t>E 250</t>
  </si>
  <si>
    <t>E 250 CDI</t>
  </si>
  <si>
    <t>E 300 BlueTEC HYBRID</t>
  </si>
  <si>
    <t>E 400</t>
  </si>
  <si>
    <t>E 63 AMG S</t>
  </si>
  <si>
    <t>6.4L/100km</t>
  </si>
  <si>
    <t>4.9L/100km</t>
  </si>
  <si>
    <t>4.3L/100km</t>
  </si>
  <si>
    <t>10.0L/100km</t>
  </si>
  <si>
    <t>E200 Options</t>
  </si>
  <si>
    <t>23P -  Driving Assistance Package Plus</t>
  </si>
  <si>
    <t>P17 - KEYLESS-GO Package</t>
  </si>
  <si>
    <t>804 - EASY-PACK Boot Box</t>
  </si>
  <si>
    <t>275 - Memory Package</t>
  </si>
  <si>
    <t>409 - Multicontour Seat Package</t>
  </si>
  <si>
    <t>864 - Rear Seat Entertainment System</t>
  </si>
  <si>
    <t>865 - Digital TV Tuner</t>
  </si>
  <si>
    <t>873 - Heated Front Seats</t>
  </si>
  <si>
    <t>260 - Deletion of boot lid model plate</t>
  </si>
  <si>
    <t>413 - Panoramic Sliding Sunroof</t>
  </si>
  <si>
    <t>414 - Glass Sunroof</t>
  </si>
  <si>
    <t>489 - AIRMATIC Suspension</t>
  </si>
  <si>
    <t>E200 CDI Options</t>
  </si>
  <si>
    <t>E250 Options</t>
  </si>
  <si>
    <t>NE 1 - Night Package</t>
  </si>
  <si>
    <t>U09 - Instrument Panel in ARTICO Man-Made Leather</t>
  </si>
  <si>
    <t>581 - THERMOTRONIC automatic climate control</t>
  </si>
  <si>
    <t>E250 CDI Options</t>
  </si>
  <si>
    <t>E300 BlueTEC Hybrid Options</t>
  </si>
  <si>
    <t>E400 Options</t>
  </si>
  <si>
    <t>EX1  - Exclusive Package</t>
  </si>
  <si>
    <t>E 63 AMG S Options</t>
  </si>
  <si>
    <t>B07 - AMG Ceramic Brake Assembly</t>
  </si>
  <si>
    <t>B14 - AMG Carbon Engine Cover</t>
  </si>
  <si>
    <t xml:space="preserve">E 200 and CDI Wheels </t>
  </si>
  <si>
    <t>F: 245/40 R18 8.5 J x 18 ET48 / R: 265/35 R18 9.0J x 18 ET54</t>
  </si>
  <si>
    <t>F: 245/35 R19 8.5 J x 19 - ET48 / R: 275/30 R19 9.5J x 19 ET48</t>
  </si>
  <si>
    <t>770 - 19-inch AMG 7 spoke alloy wheels</t>
  </si>
  <si>
    <t>AMG Sports</t>
  </si>
  <si>
    <t>22 R - 18-inch 5 twin spoke alloy wheels (Standard)</t>
  </si>
  <si>
    <t xml:space="preserve">22 R - 18-inch 5 twin spoke alloy wheels </t>
  </si>
  <si>
    <t>644 - 19 inch AMG 7 Twin-Spoke Alloy Wheels in high sheen Black</t>
  </si>
  <si>
    <t>Night Pack</t>
  </si>
  <si>
    <t>E250 and CDI and 300BTH and 400</t>
  </si>
  <si>
    <t>E 63 AMG S Wheels</t>
  </si>
  <si>
    <t>662 - 19 inch AMG 10 spoke Alloy Wheels in Titanium Grey (Standard)</t>
  </si>
  <si>
    <t>F: 255/35 R19 9.0 J x 19 - ET37 / R: 285/30 R19 9.5J x 19 ET52</t>
  </si>
  <si>
    <t>797 - 19 inch AMG 10 Spoke Alloy Wheels</t>
  </si>
  <si>
    <t>785 - 19 inch AMG 5 Twin-Spoke Alloy Wheels</t>
  </si>
  <si>
    <t>585 - Coveline Blue Metallic</t>
  </si>
  <si>
    <t>799 - Diamond white bright</t>
  </si>
  <si>
    <t>996 - Hyacinth red metallic</t>
  </si>
  <si>
    <r>
      <t xml:space="preserve">052 - </t>
    </r>
    <r>
      <rPr>
        <i/>
        <sz val="11"/>
        <color theme="1"/>
        <rFont val="Calibri"/>
        <family val="2"/>
        <scheme val="minor"/>
      </rPr>
      <t>designo</t>
    </r>
    <r>
      <rPr>
        <sz val="11"/>
        <color theme="1"/>
        <rFont val="Calibri"/>
        <family val="2"/>
        <scheme val="minor"/>
      </rPr>
      <t xml:space="preserve"> Mystic Brown Metallic</t>
    </r>
  </si>
  <si>
    <t>E- 200, 220, 250 and 300 Paint Work</t>
  </si>
  <si>
    <t>E 400 and E 63 AMG S Paint Work</t>
  </si>
  <si>
    <t>E 200, 220, 250, 300 and 400 Trim</t>
  </si>
  <si>
    <t>736 - Black High-Gloss Ash wood trim</t>
  </si>
  <si>
    <t>736 - Black High-Gloss Ash wood trim (Standard)</t>
  </si>
  <si>
    <t>H14 - Brown Burr Walnut High-Gloss Wood Trim</t>
  </si>
  <si>
    <t>H79 - Dark Aluminium Trim</t>
  </si>
  <si>
    <t>E 63 AMG S Trim</t>
  </si>
  <si>
    <t>H73 - AMG Carbon-Fibre / Black piano Lacquer Trim</t>
  </si>
  <si>
    <r>
      <t xml:space="preserve">W10 -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Natural Curly Maple Wood Trim</t>
    </r>
  </si>
  <si>
    <r>
      <t xml:space="preserve">W26 -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Natural Bamboo Trim</t>
    </r>
  </si>
  <si>
    <r>
      <t xml:space="preserve">W69 -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Black Piano Lacque Trim</t>
    </r>
  </si>
  <si>
    <t xml:space="preserve">115 - Silk Beige ARTICO Man-Made Leather </t>
  </si>
  <si>
    <t>158 - Crystal Grey/Black ARTICO Man-Made Leather</t>
  </si>
  <si>
    <t>E 200 and 220 Upholstery</t>
  </si>
  <si>
    <t>Night Edition</t>
  </si>
  <si>
    <t>241 - Black Lugano AMG Leather</t>
  </si>
  <si>
    <t>255 - Porcelain/Black Lugano Leather</t>
  </si>
  <si>
    <t>258 - Crystal Grey/Black Lugano Leather</t>
  </si>
  <si>
    <t>274 - Chestnut Brown/Black Lugano Leather</t>
  </si>
  <si>
    <t>E 250, 300 and 400 Upholstery</t>
  </si>
  <si>
    <t>211 - Black Lugano Leather</t>
  </si>
  <si>
    <t>215 - Silk Beige Lugano Leather</t>
  </si>
  <si>
    <t>218 - Crystal Grey Lugano Leather</t>
  </si>
  <si>
    <t>221 - Black AMG Leather with red topstitching</t>
  </si>
  <si>
    <t>815 - Silk Beige Nappa Leather</t>
  </si>
  <si>
    <t>818 - Crystal Grey Nappa Leather</t>
  </si>
  <si>
    <t>851 - Black AMG Nappa Leather with red topstitching</t>
  </si>
  <si>
    <t>854 - Chestnut Brown/Black Nappa Leather</t>
  </si>
  <si>
    <t>855 - Porcelain/Black Nappa Leather</t>
  </si>
  <si>
    <t xml:space="preserve">858 - Crystal Grey/Black Nappa Leather </t>
  </si>
  <si>
    <t>811 - Black Nappa Leather</t>
  </si>
  <si>
    <t>E 63 AMG S Upholstery</t>
  </si>
  <si>
    <t>821 - Black Nappa Leather (Standard)</t>
  </si>
  <si>
    <r>
      <t xml:space="preserve">X06 </t>
    </r>
    <r>
      <rPr>
        <i/>
        <sz val="11"/>
        <color theme="1"/>
        <rFont val="Calibri"/>
        <family val="2"/>
        <scheme val="minor"/>
      </rPr>
      <t>designo</t>
    </r>
    <r>
      <rPr>
        <sz val="11"/>
        <color theme="1"/>
        <rFont val="Calibri"/>
        <family val="2"/>
        <scheme val="minor"/>
      </rPr>
      <t xml:space="preserve"> Marron Leather</t>
    </r>
  </si>
  <si>
    <r>
      <t xml:space="preserve">X10 </t>
    </r>
    <r>
      <rPr>
        <i/>
        <sz val="11"/>
        <color theme="1"/>
        <rFont val="Calibri"/>
        <family val="2"/>
        <scheme val="minor"/>
      </rPr>
      <t>designo</t>
    </r>
    <r>
      <rPr>
        <sz val="11"/>
        <color theme="1"/>
        <rFont val="Calibri"/>
        <family val="2"/>
        <scheme val="minor"/>
      </rPr>
      <t xml:space="preserve"> Sand Leather</t>
    </r>
  </si>
  <si>
    <r>
      <t xml:space="preserve">X12 </t>
    </r>
    <r>
      <rPr>
        <i/>
        <sz val="11"/>
        <color theme="1"/>
        <rFont val="Calibri"/>
        <family val="2"/>
        <scheme val="minor"/>
      </rPr>
      <t>designo</t>
    </r>
    <r>
      <rPr>
        <sz val="11"/>
        <color theme="1"/>
        <rFont val="Calibri"/>
        <family val="2"/>
        <scheme val="minor"/>
      </rPr>
      <t xml:space="preserve"> Jaune Pastel Leather</t>
    </r>
  </si>
  <si>
    <r>
      <t xml:space="preserve">X13 </t>
    </r>
    <r>
      <rPr>
        <i/>
        <sz val="11"/>
        <color theme="1"/>
        <rFont val="Calibri"/>
        <family val="2"/>
        <scheme val="minor"/>
      </rPr>
      <t>designo</t>
    </r>
    <r>
      <rPr>
        <sz val="11"/>
        <color theme="1"/>
        <rFont val="Calibri"/>
        <family val="2"/>
        <scheme val="minor"/>
      </rPr>
      <t xml:space="preserve"> Mystic Red Leather</t>
    </r>
  </si>
  <si>
    <r>
      <t xml:space="preserve">X027 </t>
    </r>
    <r>
      <rPr>
        <i/>
        <sz val="11"/>
        <color theme="1"/>
        <rFont val="Calibri"/>
        <family val="2"/>
        <scheme val="minor"/>
      </rPr>
      <t>designo</t>
    </r>
    <r>
      <rPr>
        <sz val="11"/>
        <color theme="1"/>
        <rFont val="Calibri"/>
        <family val="2"/>
        <scheme val="minor"/>
      </rPr>
      <t xml:space="preserve"> Porcelain Leather</t>
    </r>
  </si>
  <si>
    <r>
      <t xml:space="preserve">X30 </t>
    </r>
    <r>
      <rPr>
        <i/>
        <sz val="11"/>
        <color theme="1"/>
        <rFont val="Calibri"/>
        <family val="2"/>
        <scheme val="minor"/>
      </rPr>
      <t>designo</t>
    </r>
    <r>
      <rPr>
        <sz val="11"/>
        <color theme="1"/>
        <rFont val="Calibri"/>
        <family val="2"/>
        <scheme val="minor"/>
      </rPr>
      <t xml:space="preserve"> Platinum White Leather</t>
    </r>
  </si>
  <si>
    <r>
      <t xml:space="preserve">X35 </t>
    </r>
    <r>
      <rPr>
        <i/>
        <sz val="11"/>
        <color theme="1"/>
        <rFont val="Calibri"/>
        <family val="2"/>
        <scheme val="minor"/>
      </rPr>
      <t>designo</t>
    </r>
    <r>
      <rPr>
        <sz val="11"/>
        <color theme="1"/>
        <rFont val="Calibri"/>
        <family val="2"/>
        <scheme val="minor"/>
      </rPr>
      <t xml:space="preserve"> Light Brown Leather</t>
    </r>
  </si>
  <si>
    <r>
      <t xml:space="preserve">X43 </t>
    </r>
    <r>
      <rPr>
        <i/>
        <sz val="11"/>
        <color theme="1"/>
        <rFont val="Calibri"/>
        <family val="2"/>
        <scheme val="minor"/>
      </rPr>
      <t>designo</t>
    </r>
    <r>
      <rPr>
        <sz val="11"/>
        <color theme="1"/>
        <rFont val="Calibri"/>
        <family val="2"/>
        <scheme val="minor"/>
      </rPr>
      <t xml:space="preserve"> Amaretto Leather</t>
    </r>
  </si>
  <si>
    <t>CLS Class Coupe</t>
  </si>
  <si>
    <t>CLS 250 CDI</t>
  </si>
  <si>
    <t>CLS 400</t>
  </si>
  <si>
    <t>CLS 500</t>
  </si>
  <si>
    <t>CLS 63 AMG S</t>
  </si>
  <si>
    <t>5.4L/100km</t>
  </si>
  <si>
    <t>CLS 250 CDI Options</t>
  </si>
  <si>
    <t>AM1 - AMG Line</t>
  </si>
  <si>
    <t>540 - Electric Sunblind for Rear Window</t>
  </si>
  <si>
    <t>581 - THERMOTRONIC Luxury climate control</t>
  </si>
  <si>
    <t>872 - Heated Rear Seats</t>
  </si>
  <si>
    <t>DLR - Omission of Glass Sunroof Deletion</t>
  </si>
  <si>
    <t>CLS 400 Options</t>
  </si>
  <si>
    <t>SP1 - AMG Line PLUS</t>
  </si>
  <si>
    <t>P34 - EXCLUSIVE Package</t>
  </si>
  <si>
    <t xml:space="preserve">CLS 500 Options </t>
  </si>
  <si>
    <t>CLS 63 AMG S Options</t>
  </si>
  <si>
    <t>CB1 - Exterior Carbon Fibre Package</t>
  </si>
  <si>
    <t>U17 - Omission of Grey Seat Belts</t>
  </si>
  <si>
    <t>B07 - AMG Ceramic High-Performance Composite Brake System</t>
  </si>
  <si>
    <t>B14 - Carbon Fibre Engine Cover</t>
  </si>
  <si>
    <t>CLS 250 Wheels</t>
  </si>
  <si>
    <t>R90 - 19 inch 5 Twin Spoke Alloy Wheels (Standard)</t>
  </si>
  <si>
    <t xml:space="preserve">F: 255/35 R19 9.0 J x 19 / R: 285/30 R19 10J x 19 </t>
  </si>
  <si>
    <t xml:space="preserve">F: 255/35 R19 9.0 J x 19 / R: 285/30 R19 9.5J x 19 </t>
  </si>
  <si>
    <t>788 - 19 inch AMG 14-Spoke Alloy Wheels</t>
  </si>
  <si>
    <t>CLS 400 and 500 Wheels</t>
  </si>
  <si>
    <t>CLS 63 AMG S Wheels</t>
  </si>
  <si>
    <t>662 - 19 inch AMG 10 spoke Alloy Wheels (Standard)</t>
  </si>
  <si>
    <t>752 - 19 inch AMG 10-Spoke Alloy Wheel sin Matt Black with High Sheen Rim Flange</t>
  </si>
  <si>
    <t>799 - 19 inch AMG Cross-Spoke Alloy Wheels</t>
  </si>
  <si>
    <t>CLS-Class Paint Work</t>
  </si>
  <si>
    <t>796- Citrine Brown Metallic</t>
  </si>
  <si>
    <r>
      <t xml:space="preserve">795 -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Manganite Grey magno</t>
    </r>
  </si>
  <si>
    <t>H07 - High Gloss Brown Linestructure Lime Wood Trim</t>
  </si>
  <si>
    <t>H19 - Light Brown Silk-Matt Poplar Wood Trim</t>
  </si>
  <si>
    <t>H21 - Black piano lacquer trim</t>
  </si>
  <si>
    <t>CLS 250 CDI Upholstery</t>
  </si>
  <si>
    <t>211 - Black AMG Leather</t>
  </si>
  <si>
    <t>214 - Black/Saddle Brown Leather</t>
  </si>
  <si>
    <t xml:space="preserve">218 - Black/Crystal Grey Leather </t>
  </si>
  <si>
    <t>225 - Black/Porcelain Leather</t>
  </si>
  <si>
    <t>245 - Espresso Brown/ Silk Beige Leather</t>
  </si>
  <si>
    <t>801 - Black PASSION Leather</t>
  </si>
  <si>
    <t xml:space="preserve">814 - Black/ Saddle Brown PASSION Leather </t>
  </si>
  <si>
    <t>811 - AMG Black PASSION Leather</t>
  </si>
  <si>
    <t>818 - Black/Crystal Grey PASSION Leather</t>
  </si>
  <si>
    <t>825 - Black/ Porcelain PASSION Leather</t>
  </si>
  <si>
    <t>845 - Espresso Brown/ Silk Beige PASSION Leather</t>
  </si>
  <si>
    <t>CLS 400 Upholstery</t>
  </si>
  <si>
    <t>851 - Black AMG PASSION Leather with red topstitching</t>
  </si>
  <si>
    <t>501 - Black Exclusive PASSION Leather</t>
  </si>
  <si>
    <t>514 - Black/Porcelian Exclusive PASSION Leather</t>
  </si>
  <si>
    <t xml:space="preserve">518 - Black/Crystal Grey Exclusive PASSION Leather </t>
  </si>
  <si>
    <t>545 - Espresso Brown/Silk Beige Exclusive PASSION Leather</t>
  </si>
  <si>
    <t>531 - Black AMG Exclusive PASSION Leather with grey topstitching</t>
  </si>
  <si>
    <t>CLS 500 Upholstery</t>
  </si>
  <si>
    <t>521 - Black AMG Exclusive PASSION Leather with red topstitching</t>
  </si>
  <si>
    <t>AMG Plus</t>
  </si>
  <si>
    <t>CLS 63 AMG S Upholstery</t>
  </si>
  <si>
    <t>CLS-Class Shooting Brake</t>
  </si>
  <si>
    <t>5.6L/100km</t>
  </si>
  <si>
    <t>8.9L/100km</t>
  </si>
  <si>
    <t>CLS Shooting brake Wheels</t>
  </si>
  <si>
    <t>CLS-Class Coupe and Shooting Brake Trim</t>
  </si>
  <si>
    <t>CLS 250 CDI Shooting Brake Upholstery</t>
  </si>
  <si>
    <t>525 - Black/Porcelian Exclusive PASSION Leather</t>
  </si>
  <si>
    <t>514 - Black / Saddle Brown Exclusive PASSION Leather</t>
  </si>
  <si>
    <t>CLS 500 Shooting Brake</t>
  </si>
  <si>
    <t>C-Class Sedan and Estate</t>
  </si>
  <si>
    <t>C 200 Sedan</t>
  </si>
  <si>
    <t>C 200 BlueTEC Sedan</t>
  </si>
  <si>
    <t>C 250 Sedan</t>
  </si>
  <si>
    <t>C 250 BlueTEC Sedan</t>
  </si>
  <si>
    <t>C 300 BlueTEC Hybrid Sedan</t>
  </si>
  <si>
    <t>AMG C 63 S Sedan</t>
  </si>
  <si>
    <t>C 200 Estate</t>
  </si>
  <si>
    <t>C 200 BlueTEC Estate</t>
  </si>
  <si>
    <t>C 250 Estate</t>
  </si>
  <si>
    <t>C 250 BlueTEC Estate</t>
  </si>
  <si>
    <t>AMG C 63 S Estate</t>
  </si>
  <si>
    <t>6.2L/100km</t>
  </si>
  <si>
    <t>4.7L/100km</t>
  </si>
  <si>
    <t>4.8L/100km</t>
  </si>
  <si>
    <t>8.7L/100km</t>
  </si>
  <si>
    <t>SP1 - AMG Line Package</t>
  </si>
  <si>
    <t>CM1 - COMAND Package</t>
  </si>
  <si>
    <t xml:space="preserve">SC1 - Seat Comfort Package </t>
  </si>
  <si>
    <t>483 - AIRMATIC Agility Suspension</t>
  </si>
  <si>
    <t>EX1 - Exclusive Package</t>
  </si>
  <si>
    <t>ED1 - Edition 1</t>
  </si>
  <si>
    <t>B07 - AMG High performance ceramic braking system</t>
  </si>
  <si>
    <t>C 200 Wheels</t>
  </si>
  <si>
    <t>F: 225/40 R19 7.5 J x 19 ET44 / R: 245/35 R19 8.5J x 19 ET56.5</t>
  </si>
  <si>
    <t>F: 225/40 R18 7.5 J x 18 ET44 / R: 245/40 R18 9.0J x 18 ET56</t>
  </si>
  <si>
    <t>665 - 19 inch AMG Multi-Spoke Alloy Wheels in Bi-Colour Black</t>
  </si>
  <si>
    <t>C250 and 300 Wheels</t>
  </si>
  <si>
    <t>R97 - 19 inch 10 Spoke Alloy Wheels (Standard)</t>
  </si>
  <si>
    <t>F: 225/45 R18 7.5 J x 18 ET44 / R: 245/40 R18 9.0J x 18 ET56</t>
  </si>
  <si>
    <t>AMG C 63 S Wheels</t>
  </si>
  <si>
    <t>793 - 19 inch AMG 5 Twin-Spoke Alloy Wheels (Standard)</t>
  </si>
  <si>
    <t>F: 245/35 R19 8.5J x 19 ET38 / R:265/35 R19 9J x 19 ET56</t>
  </si>
  <si>
    <t>770 - 19 inch AMG Cross-Spoke Alloy Wheels</t>
  </si>
  <si>
    <t>662 - 19 inch AMG Cross-Spoke Alloy Wheels in Matt Black</t>
  </si>
  <si>
    <t>785 - 19 inch AMG Cross-Spoke Alloy Wheels in Matt Black with Red Rim Flange</t>
  </si>
  <si>
    <t xml:space="preserve">Edition 1 </t>
  </si>
  <si>
    <t>C-Class Paint Work</t>
  </si>
  <si>
    <t>896 - Brilliant Blue Metallic</t>
  </si>
  <si>
    <r>
      <t xml:space="preserve">799 - </t>
    </r>
    <r>
      <rPr>
        <i/>
        <sz val="11"/>
        <color theme="1"/>
        <rFont val="Calibri"/>
        <family val="2"/>
        <scheme val="minor"/>
      </rPr>
      <t>designo</t>
    </r>
    <r>
      <rPr>
        <sz val="11"/>
        <color theme="1"/>
        <rFont val="Calibri"/>
        <family val="2"/>
        <scheme val="minor"/>
      </rPr>
      <t xml:space="preserve"> Diamond white bright</t>
    </r>
  </si>
  <si>
    <r>
      <t xml:space="preserve">996 - 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Hyacinth red metallic</t>
    </r>
  </si>
  <si>
    <r>
      <t xml:space="preserve">982 -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Iridium Silver Magno</t>
    </r>
  </si>
  <si>
    <t>AMG C 63 S Paint Work</t>
  </si>
  <si>
    <t>C 200 Trim</t>
  </si>
  <si>
    <t>739 - Black Piano Lacquer/ Brushed Aluminium trim (Standard)</t>
  </si>
  <si>
    <t>C 250 and 300 Trim</t>
  </si>
  <si>
    <t xml:space="preserve">H24 - Light Brown Lime High Gloss Wood/ Silver Chrome Trim </t>
  </si>
  <si>
    <t>AMG C 63 S</t>
  </si>
  <si>
    <t xml:space="preserve">H69 - AMG Carbon-Fibre Trim Red Pepper/Brushed Aluminium Trim </t>
  </si>
  <si>
    <t>Edition 1</t>
  </si>
  <si>
    <t>C 200 Upholstery</t>
  </si>
  <si>
    <t>101 - Black ARTICO Man-Made Leather</t>
  </si>
  <si>
    <t>115 - Silk Beige ARTICO Man-Made Leather</t>
  </si>
  <si>
    <t>118 - Crystal Grey ARTICO Man-Made Leather</t>
  </si>
  <si>
    <t>141 - Black AMG ARTICO Man-Made Leather</t>
  </si>
  <si>
    <t>C 250 and 300 Upholstery</t>
  </si>
  <si>
    <t>215 - Silk Beige Leather</t>
  </si>
  <si>
    <t>221 - Black EXCLUSIVE Leather</t>
  </si>
  <si>
    <t>225 - Silk Beige/Espresso Brown EXCLUSIVE Leather</t>
  </si>
  <si>
    <t>251- Black AMG Leather</t>
  </si>
  <si>
    <t>267 - Cranberry Red AMG Leather</t>
  </si>
  <si>
    <t>268 - Crystal Grey AMG Leather</t>
  </si>
  <si>
    <t xml:space="preserve">811 - Black Nappa Leather </t>
  </si>
  <si>
    <t>851 - Platin White Pearl / Black Two-Tone Nappa Letaher</t>
  </si>
  <si>
    <t>857 - Red Pepper / Black Two-Tone Nappa Leather</t>
  </si>
  <si>
    <t>821 - Black Nappa Leather with Red Diamond Stitching</t>
  </si>
  <si>
    <t>B-Class</t>
  </si>
  <si>
    <t>B 180</t>
  </si>
  <si>
    <t>B 200</t>
  </si>
  <si>
    <t>B 200 CDI</t>
  </si>
  <si>
    <t>B 250 4MATIC</t>
  </si>
  <si>
    <t>5.5L/100km</t>
  </si>
  <si>
    <t>6.8L/100km</t>
  </si>
  <si>
    <t>B 180 Options</t>
  </si>
  <si>
    <t>CM1 - COMMAND Package</t>
  </si>
  <si>
    <t>SP1 AMG Line</t>
  </si>
  <si>
    <t>631 - LED High Performance Fixed Headlamos</t>
  </si>
  <si>
    <t>B 200 Options</t>
  </si>
  <si>
    <t>B 250 4 MATIC Options</t>
  </si>
  <si>
    <t>B 180 Wheels</t>
  </si>
  <si>
    <t>26R - 17-inch 7 Twin-Spoke Alloy Wheels ( Standard)</t>
  </si>
  <si>
    <t>F: 225/45 R 17 7.5J x 17 / R: 225/45 R 17 7.5J x 17</t>
  </si>
  <si>
    <t>01R - 18-inch 5 Twin-Spoke Alloy Wheels in Bi-Colour High Gloss Black</t>
  </si>
  <si>
    <t>Night Package</t>
  </si>
  <si>
    <t>781 - 18 inch AMG 5 Twin Spoke Alloy Wheels in Bi-Colour High Gloss Black</t>
  </si>
  <si>
    <t>646 - 18 inch AMG Multi-Spoke Alloy Wheels in High Gloss Black</t>
  </si>
  <si>
    <t>B 200 Wheels</t>
  </si>
  <si>
    <t>R04 - 17 inch 5 Spoke Alloy Wheels (Standard)</t>
  </si>
  <si>
    <t>F: 225/40 R 18 7.5J x 18 / R: 225/40 R 18 7.5J x 18</t>
  </si>
  <si>
    <t>791 - 18 inch AMG Multi Spoke Alloy Wheels</t>
  </si>
  <si>
    <t>B 250 4MATIC Wheels</t>
  </si>
  <si>
    <t>781 - 18 inch AMG 5 Twin Spoke Alloy Wheels in Bi-Colour High Gloss Black (Standard)</t>
  </si>
  <si>
    <t>B-Class Paint</t>
  </si>
  <si>
    <t>589 - Red Jupiter Non-Metallic</t>
  </si>
  <si>
    <t>791 - Polar Silver Metallic</t>
  </si>
  <si>
    <t>B 180 Trim</t>
  </si>
  <si>
    <t>H53 - Line Pattern Trim (Standard)</t>
  </si>
  <si>
    <t>736 - Black Ash Wood Trim</t>
  </si>
  <si>
    <t>H74 - Carbon-fibre look Trim</t>
  </si>
  <si>
    <t>B 200 Trim</t>
  </si>
  <si>
    <t>736 - Black Ash Wood Trim (Standard)</t>
  </si>
  <si>
    <t>734 - Open Pore Eucalyptus Wood Trim</t>
  </si>
  <si>
    <t>Exclusive Package</t>
  </si>
  <si>
    <t>AMG Package</t>
  </si>
  <si>
    <t>B 250 4MATIC Trim</t>
  </si>
  <si>
    <t>B 180 Upholstery</t>
  </si>
  <si>
    <t>031 - Black Fabric</t>
  </si>
  <si>
    <t>038 - Grey Fabric</t>
  </si>
  <si>
    <t>105 - Sahara Beige ARTICO Man-Made Leather</t>
  </si>
  <si>
    <t>661 - Black DINAMICA Microfibre/ARTICO Man-Made Leather</t>
  </si>
  <si>
    <t>B 200 Upholstery</t>
  </si>
  <si>
    <t>201 - Black Leather</t>
  </si>
  <si>
    <t>204 - Hazelnut Brown Leather</t>
  </si>
  <si>
    <t>207 - Cranberry Red Leather</t>
  </si>
  <si>
    <t>821 - Black RED CUT Leather</t>
  </si>
  <si>
    <t>AMG Exclusive</t>
  </si>
  <si>
    <t>Column1</t>
  </si>
  <si>
    <t>Column2</t>
  </si>
  <si>
    <t>B 250 4MATIC Upholstery</t>
  </si>
  <si>
    <t>661 - Black DINAMICA Microfibre/ARTICO Man-Made Leather (Standard)</t>
  </si>
  <si>
    <t>Make</t>
  </si>
  <si>
    <t>Variant</t>
  </si>
  <si>
    <t>Exterior</t>
  </si>
  <si>
    <t>Trim</t>
  </si>
  <si>
    <t>Headlining</t>
  </si>
  <si>
    <t>Upholstery</t>
  </si>
  <si>
    <t>Wheels</t>
  </si>
  <si>
    <t>Option 1</t>
  </si>
  <si>
    <t>Option 2</t>
  </si>
  <si>
    <t>Option 3</t>
  </si>
  <si>
    <t>Option 4</t>
  </si>
  <si>
    <t>Option 5</t>
  </si>
  <si>
    <t>Option 6</t>
  </si>
  <si>
    <t>Option 7</t>
  </si>
  <si>
    <t>Option 8</t>
  </si>
  <si>
    <t>Option 9</t>
  </si>
  <si>
    <t>Option 10</t>
  </si>
  <si>
    <t>Option 11</t>
  </si>
  <si>
    <t>Option 12</t>
  </si>
  <si>
    <t>SLK 200</t>
  </si>
  <si>
    <t>SLK 250</t>
  </si>
  <si>
    <t>SLK 350</t>
  </si>
  <si>
    <t>SLK 55 AMG</t>
  </si>
  <si>
    <t>GLA 200 CDI</t>
  </si>
  <si>
    <t>GLA 250 4MATIC</t>
  </si>
  <si>
    <t>GLA 45 AMG 4MATIC</t>
  </si>
  <si>
    <t>G 350 BlueTEC</t>
  </si>
  <si>
    <t>G 500</t>
  </si>
  <si>
    <t>G 63 AMG</t>
  </si>
  <si>
    <t>CLA 200</t>
  </si>
  <si>
    <t>CLA 200 CDI</t>
  </si>
  <si>
    <t>CLA 250 Sport 4MATIC</t>
  </si>
  <si>
    <t>CLA 45 AMG 4MATIC</t>
  </si>
  <si>
    <t>A 180</t>
  </si>
  <si>
    <t>SLK Class Roadster</t>
  </si>
  <si>
    <t>SL Class Roadster</t>
  </si>
  <si>
    <t>S Class Saloon</t>
  </si>
  <si>
    <t>S Class Coupe</t>
  </si>
  <si>
    <t>CLS Class Shooting Brake</t>
  </si>
  <si>
    <t>C Class Sedan</t>
  </si>
  <si>
    <t>C Class Estate</t>
  </si>
  <si>
    <t>GL Class</t>
  </si>
  <si>
    <t>E Class</t>
  </si>
  <si>
    <t>B Class</t>
  </si>
  <si>
    <t>CLSClassList</t>
  </si>
  <si>
    <t>CLSClassShootingBrakeList</t>
  </si>
  <si>
    <t>CClassSedanList</t>
  </si>
  <si>
    <t>CClassEstateList</t>
  </si>
  <si>
    <t>BClassList</t>
  </si>
  <si>
    <t>SLKClass</t>
  </si>
  <si>
    <t>GLAClass</t>
  </si>
  <si>
    <t>CLAClass</t>
  </si>
  <si>
    <t>Aclass</t>
  </si>
  <si>
    <t>SLClass</t>
  </si>
  <si>
    <t>VClass</t>
  </si>
  <si>
    <t>SClassSaloon</t>
  </si>
  <si>
    <t>SClassCoupe</t>
  </si>
  <si>
    <t>GLClass</t>
  </si>
  <si>
    <t>Eclass</t>
  </si>
  <si>
    <t>GClass</t>
  </si>
  <si>
    <t>S 500 Saloon</t>
  </si>
  <si>
    <t>S 500 Coupe</t>
  </si>
  <si>
    <t>AMG S 63 Saloon</t>
  </si>
  <si>
    <t>AMG S 63 Coupe</t>
  </si>
  <si>
    <t>CLS 250 CDI Shooting Brake</t>
  </si>
  <si>
    <t>Range Key</t>
  </si>
  <si>
    <t xml:space="preserve">950 - AMG Package </t>
  </si>
  <si>
    <t>List Price</t>
  </si>
  <si>
    <t>V 250 BlueTEC AVANTGARDE Options</t>
  </si>
  <si>
    <t>PY0 - AVANTGARDE Interior Design Package</t>
  </si>
  <si>
    <t>CF8 - Lowered Sports Suspension</t>
  </si>
  <si>
    <t>FY1 - Anti Theft Protection Package</t>
  </si>
  <si>
    <t>JS1 - 360 Degree Surround View Camera</t>
  </si>
  <si>
    <t>US4 - 8 Passenger Configuration</t>
  </si>
  <si>
    <t>US8 - 6 Passenger Configuration</t>
  </si>
  <si>
    <t>YE2 - Folding Table</t>
  </si>
  <si>
    <t xml:space="preserve">AMG S 63 L Options </t>
  </si>
  <si>
    <t xml:space="preserve">AMG S 65 L Options </t>
  </si>
  <si>
    <t>GL 350 BlueTEC Limited Edition</t>
  </si>
  <si>
    <t>GL 500 BlueTEC Edition S</t>
  </si>
  <si>
    <t>GL 350 BlueTEC Edition S</t>
  </si>
  <si>
    <t>E400 W/Exclusive Options</t>
  </si>
  <si>
    <t>E 400 w EXCLUSIVE PACKAGE</t>
  </si>
  <si>
    <t>C 200 Sedan Options</t>
  </si>
  <si>
    <t>C 200 Estate Options</t>
  </si>
  <si>
    <t>C 200 BlueTEC Sedan Options</t>
  </si>
  <si>
    <t>C 200 BlueTEC Estate Options</t>
  </si>
  <si>
    <t>C250 Sedan Options</t>
  </si>
  <si>
    <t>C250 Estate Options</t>
  </si>
  <si>
    <t>C250 BlueTEC Sedan Options</t>
  </si>
  <si>
    <t>C250 BlueTEC Estate Options</t>
  </si>
  <si>
    <t>C 300 BlueTEC Hybrid Sedan Options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</si>
</sst>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-&quot;$&quot;* #,##0.00_-;\-&quot;$&quot;* #,##0.00_-;_-&quot;$&quot;* &quot;-&quot;??_-;_-@_-"/>
    <numFmt numFmtId="164" formatCode="&quot;$&quot;#,##0.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theme="1"/>
      </patternFill>
    </fill>
  </fills>
  <borders count="9">
    <border>
      <left/>
      <right/>
      <top/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46">
    <xf numFmtId="0" fontId="0" fillId="0" borderId="0" xfId="0"/>
    <xf numFmtId="164" fontId="0" fillId="0" borderId="0" xfId="0" applyNumberFormat="1"/>
    <xf numFmtId="44" fontId="0" fillId="0" borderId="0" xfId="1" applyFont="1"/>
    <xf numFmtId="0" fontId="2" fillId="2" borderId="2" xfId="0" applyFont="1" applyFill="1" applyBorder="1"/>
    <xf numFmtId="0" fontId="2" fillId="2" borderId="3" xfId="0" applyFont="1" applyFill="1" applyBorder="1"/>
    <xf numFmtId="0" fontId="0" fillId="0" borderId="2" xfId="0" applyFont="1" applyBorder="1"/>
    <xf numFmtId="44" fontId="0" fillId="0" borderId="3" xfId="1" applyNumberFormat="1" applyFont="1" applyBorder="1"/>
    <xf numFmtId="0" fontId="0" fillId="0" borderId="4" xfId="0" applyFont="1" applyBorder="1"/>
    <xf numFmtId="44" fontId="0" fillId="0" borderId="5" xfId="1" applyNumberFormat="1" applyFont="1" applyBorder="1"/>
    <xf numFmtId="44" fontId="0" fillId="0" borderId="1" xfId="1" applyNumberFormat="1" applyFont="1" applyBorder="1"/>
    <xf numFmtId="0" fontId="0" fillId="0" borderId="5" xfId="0" applyFont="1" applyBorder="1"/>
    <xf numFmtId="0" fontId="2" fillId="2" borderId="6" xfId="0" applyFont="1" applyFill="1" applyBorder="1"/>
    <xf numFmtId="44" fontId="0" fillId="0" borderId="6" xfId="1" applyNumberFormat="1" applyFont="1" applyBorder="1"/>
    <xf numFmtId="0" fontId="0" fillId="0" borderId="3" xfId="0" applyFont="1" applyBorder="1"/>
    <xf numFmtId="0" fontId="0" fillId="0" borderId="1" xfId="0" applyFont="1" applyBorder="1"/>
    <xf numFmtId="0" fontId="0" fillId="0" borderId="6" xfId="0" applyFont="1" applyBorder="1"/>
    <xf numFmtId="0" fontId="2" fillId="2" borderId="7" xfId="0" applyFont="1" applyFill="1" applyBorder="1"/>
    <xf numFmtId="0" fontId="2" fillId="2" borderId="0" xfId="0" applyFont="1" applyFill="1" applyBorder="1"/>
    <xf numFmtId="0" fontId="2" fillId="2" borderId="8" xfId="0" applyFont="1" applyFill="1" applyBorder="1"/>
    <xf numFmtId="0" fontId="3" fillId="0" borderId="0" xfId="0" applyFont="1"/>
    <xf numFmtId="0" fontId="3" fillId="0" borderId="2" xfId="0" applyFont="1" applyBorder="1"/>
    <xf numFmtId="0" fontId="0" fillId="0" borderId="0" xfId="0" applyFont="1" applyFill="1" applyBorder="1"/>
    <xf numFmtId="44" fontId="0" fillId="0" borderId="6" xfId="1" applyFont="1" applyBorder="1"/>
    <xf numFmtId="44" fontId="0" fillId="0" borderId="1" xfId="1" applyFont="1" applyBorder="1"/>
    <xf numFmtId="44" fontId="0" fillId="0" borderId="3" xfId="1" applyFont="1" applyBorder="1"/>
    <xf numFmtId="0" fontId="0" fillId="0" borderId="7" xfId="0" applyFont="1" applyFill="1" applyBorder="1"/>
    <xf numFmtId="44" fontId="0" fillId="0" borderId="8" xfId="1" applyFont="1" applyFill="1" applyBorder="1"/>
    <xf numFmtId="44" fontId="0" fillId="0" borderId="5" xfId="1" applyFont="1" applyBorder="1"/>
    <xf numFmtId="44" fontId="0" fillId="0" borderId="0" xfId="1" applyNumberFormat="1" applyFont="1" applyFill="1" applyBorder="1"/>
    <xf numFmtId="44" fontId="0" fillId="0" borderId="0" xfId="1" applyFont="1" applyFill="1" applyBorder="1"/>
    <xf numFmtId="0" fontId="0" fillId="0" borderId="3" xfId="0" applyFont="1" applyFill="1" applyBorder="1"/>
    <xf numFmtId="0" fontId="0" fillId="0" borderId="0" xfId="0" applyFont="1" applyFill="1"/>
    <xf numFmtId="0" fontId="0" fillId="0" borderId="2" xfId="0" applyFont="1" applyFill="1" applyBorder="1"/>
    <xf numFmtId="44" fontId="0" fillId="0" borderId="2" xfId="1" applyFont="1" applyBorder="1"/>
    <xf numFmtId="44" fontId="0" fillId="0" borderId="4" xfId="1" applyFont="1" applyBorder="1"/>
    <xf numFmtId="44" fontId="0" fillId="0" borderId="2" xfId="1" applyNumberFormat="1" applyFont="1" applyBorder="1"/>
    <xf numFmtId="44" fontId="0" fillId="0" borderId="4" xfId="1" applyNumberFormat="1" applyFont="1" applyBorder="1"/>
    <xf numFmtId="44" fontId="0" fillId="0" borderId="0" xfId="1" applyFont="1" applyFill="1"/>
    <xf numFmtId="44" fontId="0" fillId="0" borderId="7" xfId="1" applyNumberFormat="1" applyFont="1" applyFill="1" applyBorder="1"/>
    <xf numFmtId="44" fontId="2" fillId="2" borderId="6" xfId="1" applyFont="1" applyFill="1" applyBorder="1"/>
    <xf numFmtId="44" fontId="2" fillId="2" borderId="0" xfId="1" applyFont="1" applyFill="1" applyBorder="1"/>
    <xf numFmtId="44" fontId="0" fillId="0" borderId="6" xfId="1" applyFont="1" applyFill="1" applyBorder="1"/>
    <xf numFmtId="44" fontId="2" fillId="2" borderId="8" xfId="1" applyFont="1" applyFill="1" applyBorder="1"/>
    <xf numFmtId="44" fontId="0" fillId="0" borderId="3" xfId="1" applyFont="1" applyFill="1" applyBorder="1"/>
    <xf numFmtId="0" fontId="0" fillId="0" borderId="0" xfId="0" applyFont="1" applyBorder="1"/>
    <xf numFmtId="44" fontId="0" fillId="0" borderId="0" xfId="1" applyFont="1" applyBorder="1"/>
  </cellXfs>
  <cellStyles count="2">
    <cellStyle name="Currency" xfId="1" builtinId="4"/>
    <cellStyle name="Normal" xfId="0" builtinId="0"/>
  </cellStyles>
  <dxfs count="44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border outline="0">
        <left style="thin">
          <color theme="1"/>
        </lef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 outline="0"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border outline="0">
        <right style="thin">
          <color theme="1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border outline="0">
        <right style="thin">
          <color theme="1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border outline="0"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right style="thin">
          <color theme="1"/>
        </right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theme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Table1" displayName="Table1" ref="A1:B23" totalsRowShown="0">
  <autoFilter ref="A1:B23"/>
  <tableColumns count="2">
    <tableColumn id="1" name="SLK 200 Options"/>
    <tableColumn id="2" name="Price" dataDxfId="442" dataCellStyle="Currency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id="6" name="Table6" displayName="Table6" ref="D1:E21" totalsRowShown="0">
  <autoFilter ref="D1:E21"/>
  <tableColumns count="2">
    <tableColumn id="1" name="SLK 250 Options" dataDxfId="441"/>
    <tableColumn id="2" name="Price" dataDxfId="440" dataCellStyle="Currency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id="11" name="Table11" displayName="Table11" ref="G1:H14" totalsRowShown="0">
  <autoFilter ref="G1:H14"/>
  <tableColumns count="2">
    <tableColumn id="1" name="SLK 350 Options" dataDxfId="439"/>
    <tableColumn id="2" name="Price" dataDxfId="438" dataCellStyle="Currency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id="16" name="Table16" displayName="Table16" ref="J1:K9" totalsRowShown="0">
  <autoFilter ref="J1:K9"/>
  <tableColumns count="2">
    <tableColumn id="1" name="SLK 55 AMG Options" dataDxfId="437"/>
    <tableColumn id="2" name="Price" dataDxfId="436" dataCellStyle="Currency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id="21" name="Table21" displayName="Table21" ref="A25:B29" totalsRowShown="0">
  <autoFilter ref="A25:B29"/>
  <tableColumns count="2">
    <tableColumn id="1" name="GLA 200 CDI Options"/>
    <tableColumn id="2" name="Price" dataDxfId="435" dataCellStyle="Currency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id="26" name="Table26" displayName="Table26" ref="D25:E28" totalsRowShown="0">
  <autoFilter ref="D25:E28"/>
  <tableColumns count="2">
    <tableColumn id="1" name="GLA 250 4MATIC Options" dataDxfId="434"/>
    <tableColumn id="2" name="Price" dataDxfId="433" dataCellStyle="Currency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id="31" name="Table31" displayName="Table31" ref="G25:H28" totalsRowShown="0">
  <autoFilter ref="G25:H28"/>
  <tableColumns count="2">
    <tableColumn id="1" name="GLA 45 AMG 4MATIC Options"/>
    <tableColumn id="2" name="Price" dataCellStyle="Currency"/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id="36" name="Table36" displayName="Table36" ref="A31:B48" totalsRowShown="0">
  <autoFilter ref="A31:B48"/>
  <tableColumns count="2">
    <tableColumn id="1" name="G 350 BlueTEC Options"/>
    <tableColumn id="2" name="Price" dataCellStyle="Currency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id="41" name="Table41" displayName="Table41" ref="D31:E47" totalsRowShown="0" tableBorderDxfId="432">
  <autoFilter ref="D31:E47"/>
  <tableColumns count="2">
    <tableColumn id="1" name="G500 Options" dataDxfId="431"/>
    <tableColumn id="2" name="Price" dataDxfId="430" dataCellStyle="Currency"/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id="45" name="Table45" displayName="Table45" ref="G31:H38" totalsRowShown="0">
  <autoFilter ref="G31:H38"/>
  <tableColumns count="2">
    <tableColumn id="1" name="G63 AMG" dataDxfId="429"/>
    <tableColumn id="2" name="Price" dataDxfId="428" dataCellStyle="Currency"/>
  </tableColumns>
  <tableStyleInfo name="TableStyleLight8" showFirstColumn="0" showLastColumn="0" showRowStripes="1" showColumnStripes="0"/>
</table>
</file>

<file path=xl/tables/table11.xml><?xml version="1.0" encoding="utf-8"?>
<table xmlns="http://schemas.openxmlformats.org/spreadsheetml/2006/main" id="50" name="Table50" displayName="Table50" ref="A50:B60" totalsRowShown="0">
  <autoFilter ref="A50:B60"/>
  <tableColumns count="2">
    <tableColumn id="1" name="CLA 200 Options"/>
    <tableColumn id="2" name="Price" dataDxfId="427" dataCellStyle="Currency"/>
  </tableColumns>
  <tableStyleInfo name="TableStyleLight8" showFirstColumn="0" showLastColumn="0" showRowStripes="1" showColumnStripes="0"/>
</table>
</file>

<file path=xl/tables/table12.xml><?xml version="1.0" encoding="utf-8"?>
<table xmlns="http://schemas.openxmlformats.org/spreadsheetml/2006/main" id="55" name="Table55" displayName="Table55" ref="D50:E60" totalsRowShown="0" tableBorderDxfId="426">
  <autoFilter ref="D50:E60"/>
  <tableColumns count="2">
    <tableColumn id="1" name="CLA 200 CDI Options" dataDxfId="425"/>
    <tableColumn id="2" name="Price" dataDxfId="424" dataCellStyle="Currency"/>
  </tableColumns>
  <tableStyleInfo name="TableStyleLight8" showFirstColumn="0" showLastColumn="0" showRowStripes="1" showColumnStripes="0"/>
</table>
</file>

<file path=xl/tables/table13.xml><?xml version="1.0" encoding="utf-8"?>
<table xmlns="http://schemas.openxmlformats.org/spreadsheetml/2006/main" id="60" name="Table60" displayName="Table60" ref="G50:H53" totalsRowShown="0">
  <autoFilter ref="G50:H53"/>
  <tableColumns count="2">
    <tableColumn id="1" name="CLA 250 Sport Options" dataDxfId="423"/>
    <tableColumn id="2" name="Price" dataDxfId="422" dataCellStyle="Currency"/>
  </tableColumns>
  <tableStyleInfo name="TableStyleLight8" showFirstColumn="0" showLastColumn="0" showRowStripes="1" showColumnStripes="0"/>
</table>
</file>

<file path=xl/tables/table14.xml><?xml version="1.0" encoding="utf-8"?>
<table xmlns="http://schemas.openxmlformats.org/spreadsheetml/2006/main" id="65" name="Table65" displayName="Table65" ref="J50:K52" totalsRowShown="0">
  <autoFilter ref="J50:K52"/>
  <tableColumns count="2">
    <tableColumn id="1" name="CLA 45 AMG Options"/>
    <tableColumn id="2" name="Price" dataCellStyle="Currency"/>
  </tableColumns>
  <tableStyleInfo name="TableStyleLight8" showFirstColumn="0" showLastColumn="0" showRowStripes="1" showColumnStripes="0"/>
</table>
</file>

<file path=xl/tables/table15.xml><?xml version="1.0" encoding="utf-8"?>
<table xmlns="http://schemas.openxmlformats.org/spreadsheetml/2006/main" id="70" name="Table70" displayName="Table70" ref="A63:B71" totalsRowShown="0">
  <autoFilter ref="A63:B71"/>
  <tableColumns count="2">
    <tableColumn id="1" name="A 180 Options" dataDxfId="421"/>
    <tableColumn id="2" name="Price" dataCellStyle="Currency"/>
  </tableColumns>
  <tableStyleInfo name="TableStyleLight8" showFirstColumn="0" showLastColumn="0" showRowStripes="1" showColumnStripes="0"/>
</table>
</file>

<file path=xl/tables/table16.xml><?xml version="1.0" encoding="utf-8"?>
<table xmlns="http://schemas.openxmlformats.org/spreadsheetml/2006/main" id="71" name="Table71" displayName="Table71" ref="D63:E73" totalsRowShown="0">
  <autoFilter ref="D63:E73"/>
  <tableColumns count="2">
    <tableColumn id="1" name="A 200 Options" dataDxfId="420"/>
    <tableColumn id="2" name="Price" dataDxfId="419" dataCellStyle="Currency"/>
  </tableColumns>
  <tableStyleInfo name="TableStyleLight8" showFirstColumn="0" showLastColumn="0" showRowStripes="1" showColumnStripes="0"/>
</table>
</file>

<file path=xl/tables/table17.xml><?xml version="1.0" encoding="utf-8"?>
<table xmlns="http://schemas.openxmlformats.org/spreadsheetml/2006/main" id="72" name="Table72" displayName="Table72" ref="G63:H73" totalsRowShown="0" tableBorderDxfId="418">
  <autoFilter ref="G63:H73"/>
  <tableColumns count="2">
    <tableColumn id="1" name="A 200 CDI Options" dataDxfId="417"/>
    <tableColumn id="2" name="Price" dataDxfId="416" dataCellStyle="Currency"/>
  </tableColumns>
  <tableStyleInfo name="TableStyleLight8" showFirstColumn="0" showLastColumn="0" showRowStripes="1" showColumnStripes="0"/>
</table>
</file>

<file path=xl/tables/table18.xml><?xml version="1.0" encoding="utf-8"?>
<table xmlns="http://schemas.openxmlformats.org/spreadsheetml/2006/main" id="73" name="Table73" displayName="Table73" ref="J63:K68" totalsRowShown="0">
  <autoFilter ref="J63:K68"/>
  <tableColumns count="2">
    <tableColumn id="1" name="A 250 Sport Options" dataDxfId="415"/>
    <tableColumn id="2" name="Price" dataDxfId="414" dataCellStyle="Currency"/>
  </tableColumns>
  <tableStyleInfo name="TableStyleLight8" showFirstColumn="0" showLastColumn="0" showRowStripes="1" showColumnStripes="0"/>
</table>
</file>

<file path=xl/tables/table19.xml><?xml version="1.0" encoding="utf-8"?>
<table xmlns="http://schemas.openxmlformats.org/spreadsheetml/2006/main" id="74" name="Table74" displayName="Table74" ref="M63:N65" totalsRowShown="0" tableBorderDxfId="413">
  <autoFilter ref="M63:N65"/>
  <tableColumns count="2">
    <tableColumn id="1" name="A 45 AMG Options " dataDxfId="412"/>
    <tableColumn id="2" name="Price" dataDxfId="411" dataCellStyle="Currency"/>
  </tableColumns>
  <tableStyleInfo name="TableStyleLight8" showFirstColumn="0" showLastColumn="0" showRowStripes="1" showColumnStripes="0"/>
</table>
</file>

<file path=xl/tables/table20.xml><?xml version="1.0" encoding="utf-8"?>
<table xmlns="http://schemas.openxmlformats.org/spreadsheetml/2006/main" id="100" name="Table100" displayName="Table100" ref="A84:B109" totalsRowShown="0">
  <autoFilter ref="A84:B109"/>
  <tableColumns count="2">
    <tableColumn id="1" name="SL 400 Options " dataDxfId="410"/>
    <tableColumn id="2" name="Price" dataCellStyle="Currency"/>
  </tableColumns>
  <tableStyleInfo name="TableStyleLight8" showFirstColumn="0" showLastColumn="0" showRowStripes="1" showColumnStripes="0"/>
</table>
</file>

<file path=xl/tables/table21.xml><?xml version="1.0" encoding="utf-8"?>
<table xmlns="http://schemas.openxmlformats.org/spreadsheetml/2006/main" id="101" name="Table101" displayName="Table101" ref="D84:E108" totalsRowShown="0">
  <autoFilter ref="D84:E108"/>
  <tableColumns count="2">
    <tableColumn id="1" name="SL 500 Options" dataDxfId="409"/>
    <tableColumn id="2" name="Price" dataDxfId="408" dataCellStyle="Currency"/>
  </tableColumns>
  <tableStyleInfo name="TableStyleLight8" showFirstColumn="0" showLastColumn="0" showRowStripes="1" showColumnStripes="0"/>
</table>
</file>

<file path=xl/tables/table22.xml><?xml version="1.0" encoding="utf-8"?>
<table xmlns="http://schemas.openxmlformats.org/spreadsheetml/2006/main" id="102" name="Table102" displayName="Table102" ref="G84:H105" totalsRowShown="0">
  <autoFilter ref="G84:H105"/>
  <tableColumns count="2">
    <tableColumn id="1" name="AMG SL 63 Options" dataDxfId="407"/>
    <tableColumn id="2" name="Price" dataDxfId="406" dataCellStyle="Currency"/>
  </tableColumns>
  <tableStyleInfo name="TableStyleLight8" showFirstColumn="0" showLastColumn="0" showRowStripes="1" showColumnStripes="0"/>
</table>
</file>

<file path=xl/tables/table23.xml><?xml version="1.0" encoding="utf-8"?>
<table xmlns="http://schemas.openxmlformats.org/spreadsheetml/2006/main" id="103" name="Table103" displayName="Table103" ref="J84:K98" totalsRowShown="0" tableBorderDxfId="405">
  <autoFilter ref="J84:K98"/>
  <tableColumns count="2">
    <tableColumn id="1" name="AMG SL 65 Options " dataDxfId="404"/>
    <tableColumn id="2" name="Price" dataDxfId="403" dataCellStyle="Currency"/>
  </tableColumns>
  <tableStyleInfo name="TableStyleLight8" showFirstColumn="0" showLastColumn="0" showRowStripes="1" showColumnStripes="0"/>
</table>
</file>

<file path=xl/tables/table24.xml><?xml version="1.0" encoding="utf-8"?>
<table xmlns="http://schemas.openxmlformats.org/spreadsheetml/2006/main" id="117" name="Table117" displayName="Table117" ref="A111:B139" totalsRowShown="0">
  <autoFilter ref="A111:B139"/>
  <tableColumns count="2">
    <tableColumn id="1" name="S 300 h Options" dataDxfId="402"/>
    <tableColumn id="2" name="Price" dataDxfId="401" dataCellStyle="Currency"/>
  </tableColumns>
  <tableStyleInfo name="TableStyleLight8" showFirstColumn="0" showLastColumn="0" showRowStripes="1" showColumnStripes="0"/>
</table>
</file>

<file path=xl/tables/table25.xml><?xml version="1.0" encoding="utf-8"?>
<table xmlns="http://schemas.openxmlformats.org/spreadsheetml/2006/main" id="118" name="Table118" displayName="Table118" ref="D111:E138" totalsRowShown="0" tableBorderDxfId="400">
  <autoFilter ref="D111:E138"/>
  <tableColumns count="2">
    <tableColumn id="1" name="S 350 d Options" dataDxfId="399"/>
    <tableColumn id="2" name="Price" dataDxfId="398" dataCellStyle="Currency"/>
  </tableColumns>
  <tableStyleInfo name="TableStyleLight8" showFirstColumn="0" showLastColumn="0" showRowStripes="1" showColumnStripes="0"/>
</table>
</file>

<file path=xl/tables/table26.xml><?xml version="1.0" encoding="utf-8"?>
<table xmlns="http://schemas.openxmlformats.org/spreadsheetml/2006/main" id="119" name="Table119" displayName="Table119" ref="G111:H137" totalsRowShown="0" tableBorderDxfId="397">
  <autoFilter ref="G111:H137"/>
  <tableColumns count="2">
    <tableColumn id="1" name="S 350 d L Options " dataDxfId="396"/>
    <tableColumn id="2" name="Price" dataDxfId="395" dataCellStyle="Currency"/>
  </tableColumns>
  <tableStyleInfo name="TableStyleLight8" showFirstColumn="0" showLastColumn="0" showRowStripes="1" showColumnStripes="0"/>
</table>
</file>

<file path=xl/tables/table27.xml><?xml version="1.0" encoding="utf-8"?>
<table xmlns="http://schemas.openxmlformats.org/spreadsheetml/2006/main" id="120" name="Table119121" displayName="Table119121" ref="J111:K137" totalsRowShown="0" tableBorderDxfId="394">
  <autoFilter ref="J111:K137"/>
  <tableColumns count="2">
    <tableColumn id="1" name="S 400 L Options " dataDxfId="393"/>
    <tableColumn id="2" name="Price" dataDxfId="392" dataCellStyle="Currency"/>
  </tableColumns>
  <tableStyleInfo name="TableStyleLight8" showFirstColumn="0" showLastColumn="0" showRowStripes="1" showColumnStripes="0"/>
</table>
</file>

<file path=xl/tables/table28.xml><?xml version="1.0" encoding="utf-8"?>
<table xmlns="http://schemas.openxmlformats.org/spreadsheetml/2006/main" id="121" name="Table119121122" displayName="Table119121122" ref="M111:N134" totalsRowShown="0" tableBorderDxfId="391">
  <autoFilter ref="M111:N134"/>
  <tableColumns count="2">
    <tableColumn id="1" name="S 500 Options " dataDxfId="390"/>
    <tableColumn id="2" name="Price" dataDxfId="389" dataCellStyle="Currency"/>
  </tableColumns>
  <tableStyleInfo name="TableStyleLight8" showFirstColumn="0" showLastColumn="0" showRowStripes="1" showColumnStripes="0"/>
</table>
</file>

<file path=xl/tables/table29.xml><?xml version="1.0" encoding="utf-8"?>
<table xmlns="http://schemas.openxmlformats.org/spreadsheetml/2006/main" id="122" name="Table119121122123" displayName="Table119121122123" ref="P111:Q131" totalsRowShown="0" tableBorderDxfId="388">
  <autoFilter ref="P111:Q131"/>
  <tableColumns count="2">
    <tableColumn id="1" name="S 500 L Options " dataDxfId="387"/>
    <tableColumn id="2" name="Price" dataDxfId="386" dataCellStyle="Currency"/>
  </tableColumns>
  <tableStyleInfo name="TableStyleLight8" showFirstColumn="0" showLastColumn="0" showRowStripes="1" showColumnStripes="0"/>
</table>
</file>

<file path=xl/tables/table30.xml><?xml version="1.0" encoding="utf-8"?>
<table xmlns="http://schemas.openxmlformats.org/spreadsheetml/2006/main" id="123" name="Table119121122123124" displayName="Table119121122123124" ref="S111:T131" totalsRowShown="0" tableBorderDxfId="385">
  <autoFilter ref="S111:T131"/>
  <tableColumns count="2">
    <tableColumn id="1" name="AMG S 63 Options " dataDxfId="384"/>
    <tableColumn id="2" name="Price" dataDxfId="383" dataCellStyle="Currency"/>
  </tableColumns>
  <tableStyleInfo name="TableStyleLight8" showFirstColumn="0" showLastColumn="0" showRowStripes="1" showColumnStripes="0"/>
</table>
</file>

<file path=xl/tables/table31.xml><?xml version="1.0" encoding="utf-8"?>
<table xmlns="http://schemas.openxmlformats.org/spreadsheetml/2006/main" id="124" name="Table119121122123124125" displayName="Table119121122123124125" ref="V111:W132" totalsRowShown="0" tableBorderDxfId="382">
  <autoFilter ref="V111:W132"/>
  <tableColumns count="2">
    <tableColumn id="1" name="AMG S 63 L Options " dataDxfId="381"/>
    <tableColumn id="2" name="Price" dataDxfId="380" dataCellStyle="Currency"/>
  </tableColumns>
  <tableStyleInfo name="TableStyleLight8" showFirstColumn="0" showLastColumn="0" showRowStripes="1" showColumnStripes="0"/>
</table>
</file>

<file path=xl/tables/table32.xml><?xml version="1.0" encoding="utf-8"?>
<table xmlns="http://schemas.openxmlformats.org/spreadsheetml/2006/main" id="125" name="Table119121122123126" displayName="Table119121122123126" ref="Y111:Z121" totalsRowShown="0" tableBorderDxfId="379">
  <autoFilter ref="Y111:Z121"/>
  <tableColumns count="2">
    <tableColumn id="1" name="S 600 L Options " dataDxfId="378"/>
    <tableColumn id="2" name="Price" dataDxfId="377" dataCellStyle="Currency"/>
  </tableColumns>
  <tableStyleInfo name="TableStyleLight8" showFirstColumn="0" showLastColumn="0" showRowStripes="1" showColumnStripes="0"/>
</table>
</file>

<file path=xl/tables/table33.xml><?xml version="1.0" encoding="utf-8"?>
<table xmlns="http://schemas.openxmlformats.org/spreadsheetml/2006/main" id="126" name="Table119121122123124125127" displayName="Table119121122123124125127" ref="AB111:AC123" totalsRowShown="0" tableBorderDxfId="376">
  <autoFilter ref="AB111:AC123"/>
  <tableColumns count="2">
    <tableColumn id="1" name="AMG S 65 L Options " dataDxfId="375"/>
    <tableColumn id="2" name="Price" dataDxfId="374" dataCellStyle="Currency"/>
  </tableColumns>
  <tableStyleInfo name="TableStyleLight8" showFirstColumn="0" showLastColumn="0" showRowStripes="1" showColumnStripes="0"/>
</table>
</file>

<file path=xl/tables/table34.xml><?xml version="1.0" encoding="utf-8"?>
<table xmlns="http://schemas.openxmlformats.org/spreadsheetml/2006/main" id="165" name="Table165" displayName="Table165" ref="A141:B157" totalsRowShown="0">
  <autoFilter ref="A141:B157"/>
  <tableColumns count="2">
    <tableColumn id="1" name="S 500 Options " dataDxfId="373"/>
    <tableColumn id="2" name="Price" dataDxfId="372" dataCellStyle="Currency"/>
  </tableColumns>
  <tableStyleInfo name="TableStyleLight8" showFirstColumn="0" showLastColumn="0" showRowStripes="1" showColumnStripes="0"/>
</table>
</file>

<file path=xl/tables/table35.xml><?xml version="1.0" encoding="utf-8"?>
<table xmlns="http://schemas.openxmlformats.org/spreadsheetml/2006/main" id="166" name="Table165167" displayName="Table165167" ref="D141:E156" totalsRowShown="0">
  <autoFilter ref="D141:E156"/>
  <tableColumns count="2">
    <tableColumn id="1" name="AMG S 63 Options " dataDxfId="371"/>
    <tableColumn id="2" name="Price" dataDxfId="370" dataCellStyle="Currency"/>
  </tableColumns>
  <tableStyleInfo name="TableStyleLight8" showFirstColumn="0" showLastColumn="0" showRowStripes="1" showColumnStripes="0"/>
</table>
</file>

<file path=xl/tables/table36.xml><?xml version="1.0" encoding="utf-8"?>
<table xmlns="http://schemas.openxmlformats.org/spreadsheetml/2006/main" id="167" name="Table165167168" displayName="Table165167168" ref="G141:H149" totalsRowShown="0">
  <autoFilter ref="G141:H149"/>
  <tableColumns count="2">
    <tableColumn id="1" name="AMG S 65 Options " dataDxfId="369"/>
    <tableColumn id="2" name="Price" dataDxfId="368" dataCellStyle="Currency"/>
  </tableColumns>
  <tableStyleInfo name="TableStyleLight8" showFirstColumn="0" showLastColumn="0" showRowStripes="1" showColumnStripes="0"/>
</table>
</file>

<file path=xl/tables/table37.xml><?xml version="1.0" encoding="utf-8"?>
<table xmlns="http://schemas.openxmlformats.org/spreadsheetml/2006/main" id="179" name="Table179" displayName="Table179" ref="A159:B178" totalsRowShown="0">
  <autoFilter ref="A159:B178"/>
  <tableColumns count="2">
    <tableColumn id="1" name="GL 350 BlueTEC 'Limited Edition' Options" dataDxfId="367"/>
    <tableColumn id="2" name="Price" dataCellStyle="Currency"/>
  </tableColumns>
  <tableStyleInfo name="TableStyleLight8" showFirstColumn="0" showLastColumn="0" showRowStripes="1" showColumnStripes="0"/>
</table>
</file>

<file path=xl/tables/table38.xml><?xml version="1.0" encoding="utf-8"?>
<table xmlns="http://schemas.openxmlformats.org/spreadsheetml/2006/main" id="180" name="Table179181" displayName="Table179181" ref="D159:E171" totalsRowShown="0">
  <autoFilter ref="D159:E171"/>
  <tableColumns count="2">
    <tableColumn id="1" name="GL 350 BlueTEC 'Edition S' Options" dataDxfId="366"/>
    <tableColumn id="2" name="Price" dataCellStyle="Currency"/>
  </tableColumns>
  <tableStyleInfo name="TableStyleLight8" showFirstColumn="0" showLastColumn="0" showRowStripes="1" showColumnStripes="0"/>
</table>
</file>

<file path=xl/tables/table39.xml><?xml version="1.0" encoding="utf-8"?>
<table xmlns="http://schemas.openxmlformats.org/spreadsheetml/2006/main" id="181" name="Table179181182" displayName="Table179181182" ref="G159:H168" totalsRowShown="0">
  <autoFilter ref="G159:H168"/>
  <tableColumns count="2">
    <tableColumn id="1" name="GL 500 'Edition S' Options" dataDxfId="365"/>
    <tableColumn id="2" name="Price" dataCellStyle="Currency"/>
  </tableColumns>
  <tableStyleInfo name="TableStyleLight8" showFirstColumn="0" showLastColumn="0" showRowStripes="1" showColumnStripes="0"/>
</table>
</file>

<file path=xl/tables/table40.xml><?xml version="1.0" encoding="utf-8"?>
<table xmlns="http://schemas.openxmlformats.org/spreadsheetml/2006/main" id="182" name="Table179181182183" displayName="Table179181182183" ref="J159:K168" totalsRowShown="0">
  <autoFilter ref="J159:K168"/>
  <tableColumns count="2">
    <tableColumn id="1" name="GL 63 AMG Options" dataDxfId="364"/>
    <tableColumn id="2" name="Price" dataCellStyle="Currency"/>
  </tableColumns>
  <tableStyleInfo name="TableStyleLight8" showFirstColumn="0" showLastColumn="0" showRowStripes="1" showColumnStripes="0"/>
</table>
</file>

<file path=xl/tables/table41.xml><?xml version="1.0" encoding="utf-8"?>
<table xmlns="http://schemas.openxmlformats.org/spreadsheetml/2006/main" id="194" name="Table194" displayName="Table194" ref="A181:B203" totalsRowShown="0" dataCellStyle="Currency">
  <autoFilter ref="A181:B203"/>
  <tableColumns count="2">
    <tableColumn id="1" name="E200 Options" dataDxfId="363" dataCellStyle="Currency"/>
    <tableColumn id="2" name="Price" dataCellStyle="Currency"/>
  </tableColumns>
  <tableStyleInfo name="TableStyleLight8" showFirstColumn="0" showLastColumn="0" showRowStripes="1" showColumnStripes="0"/>
</table>
</file>

<file path=xl/tables/table42.xml><?xml version="1.0" encoding="utf-8"?>
<table xmlns="http://schemas.openxmlformats.org/spreadsheetml/2006/main" id="195" name="Table194196" displayName="Table194196" ref="D181:E203" totalsRowShown="0" dataCellStyle="Currency">
  <autoFilter ref="D181:E203"/>
  <tableColumns count="2">
    <tableColumn id="1" name="E200 CDI Options" dataDxfId="362" dataCellStyle="Currency"/>
    <tableColumn id="2" name="Price" dataCellStyle="Currency"/>
  </tableColumns>
  <tableStyleInfo name="TableStyleLight8" showFirstColumn="0" showLastColumn="0" showRowStripes="1" showColumnStripes="0"/>
</table>
</file>

<file path=xl/tables/table43.xml><?xml version="1.0" encoding="utf-8"?>
<table xmlns="http://schemas.openxmlformats.org/spreadsheetml/2006/main" id="196" name="Table194196197" displayName="Table194196197" ref="G181:H203" totalsRowShown="0" dataCellStyle="Currency">
  <autoFilter ref="G181:H203"/>
  <tableColumns count="2">
    <tableColumn id="1" name="E250 Options" dataDxfId="361" dataCellStyle="Currency"/>
    <tableColumn id="2" name="Price" dataCellStyle="Currency"/>
  </tableColumns>
  <tableStyleInfo name="TableStyleLight8" showFirstColumn="0" showLastColumn="0" showRowStripes="1" showColumnStripes="0"/>
</table>
</file>

<file path=xl/tables/table44.xml><?xml version="1.0" encoding="utf-8"?>
<table xmlns="http://schemas.openxmlformats.org/spreadsheetml/2006/main" id="197" name="Table194196197198" displayName="Table194196197198" ref="J181:K203" totalsRowShown="0" dataCellStyle="Currency">
  <autoFilter ref="J181:K203"/>
  <tableColumns count="2">
    <tableColumn id="1" name="E250 CDI Options" dataDxfId="360" dataCellStyle="Currency"/>
    <tableColumn id="2" name="Price" dataCellStyle="Currency"/>
  </tableColumns>
  <tableStyleInfo name="TableStyleLight8" showFirstColumn="0" showLastColumn="0" showRowStripes="1" showColumnStripes="0"/>
</table>
</file>

<file path=xl/tables/table45.xml><?xml version="1.0" encoding="utf-8"?>
<table xmlns="http://schemas.openxmlformats.org/spreadsheetml/2006/main" id="198" name="Table194196197198199" displayName="Table194196197198199" ref="M181:N201" totalsRowShown="0" dataCellStyle="Currency">
  <autoFilter ref="M181:N201"/>
  <tableColumns count="2">
    <tableColumn id="1" name="E300 BlueTEC Hybrid Options" dataDxfId="359" dataCellStyle="Currency"/>
    <tableColumn id="2" name="Price" dataCellStyle="Currency"/>
  </tableColumns>
  <tableStyleInfo name="TableStyleLight8" showFirstColumn="0" showLastColumn="0" showRowStripes="1" showColumnStripes="0"/>
</table>
</file>

<file path=xl/tables/table46.xml><?xml version="1.0" encoding="utf-8"?>
<table xmlns="http://schemas.openxmlformats.org/spreadsheetml/2006/main" id="199" name="Table194196197198200" displayName="Table194196197198200" ref="P181:Q201" totalsRowShown="0" dataCellStyle="Currency">
  <autoFilter ref="P181:Q201"/>
  <tableColumns count="2">
    <tableColumn id="1" name="E400 Options" dataDxfId="358" dataCellStyle="Currency"/>
    <tableColumn id="2" name="Price" dataCellStyle="Currency"/>
  </tableColumns>
  <tableStyleInfo name="TableStyleLight8" showFirstColumn="0" showLastColumn="0" showRowStripes="1" showColumnStripes="0"/>
</table>
</file>

<file path=xl/tables/table47.xml><?xml version="1.0" encoding="utf-8"?>
<table xmlns="http://schemas.openxmlformats.org/spreadsheetml/2006/main" id="200" name="Table194196197198200201" displayName="Table194196197198200201" ref="S181:T189" totalsRowShown="0" dataCellStyle="Currency">
  <autoFilter ref="S181:T189"/>
  <tableColumns count="2">
    <tableColumn id="1" name="E 63 AMG S Options" dataDxfId="357" dataCellStyle="Currency"/>
    <tableColumn id="2" name="Price" dataCellStyle="Currency"/>
  </tableColumns>
  <tableStyleInfo name="TableStyleLight8" showFirstColumn="0" showLastColumn="0" showRowStripes="1" showColumnStripes="0"/>
</table>
</file>

<file path=xl/tables/table48.xml><?xml version="1.0" encoding="utf-8"?>
<table xmlns="http://schemas.openxmlformats.org/spreadsheetml/2006/main" id="211" name="Table211" displayName="Table211" ref="A206:B220" totalsRowShown="0">
  <autoFilter ref="A206:B220"/>
  <tableColumns count="2">
    <tableColumn id="1" name="CLS 250 CDI Options" dataDxfId="356" dataCellStyle="Currency"/>
    <tableColumn id="2" name="Price" dataDxfId="355" dataCellStyle="Currency"/>
  </tableColumns>
  <tableStyleInfo name="TableStyleLight8" showFirstColumn="0" showLastColumn="0" showRowStripes="1" showColumnStripes="0"/>
</table>
</file>

<file path=xl/tables/table49.xml><?xml version="1.0" encoding="utf-8"?>
<table xmlns="http://schemas.openxmlformats.org/spreadsheetml/2006/main" id="212" name="Table212" displayName="Table212" ref="D206:E220" totalsRowShown="0" tableBorderDxfId="354">
  <autoFilter ref="D206:E220"/>
  <tableColumns count="2">
    <tableColumn id="1" name="CLS 400 Options" dataDxfId="353" dataCellStyle="Currency"/>
    <tableColumn id="2" name="Price" dataDxfId="352" dataCellStyle="Currency"/>
  </tableColumns>
  <tableStyleInfo name="TableStyleLight8" showFirstColumn="0" showLastColumn="0" showRowStripes="1" showColumnStripes="0"/>
</table>
</file>

<file path=xl/tables/table50.xml><?xml version="1.0" encoding="utf-8"?>
<table xmlns="http://schemas.openxmlformats.org/spreadsheetml/2006/main" id="213" name="Table213" displayName="Table213" ref="G206:H213" totalsRowShown="0" tableBorderDxfId="351">
  <autoFilter ref="G206:H213"/>
  <tableColumns count="2">
    <tableColumn id="1" name="CLS 500 Options " dataDxfId="350" dataCellStyle="Currency"/>
    <tableColumn id="2" name="Price" dataDxfId="349" dataCellStyle="Currency"/>
  </tableColumns>
  <tableStyleInfo name="TableStyleLight8" showFirstColumn="0" showLastColumn="0" showRowStripes="1" showColumnStripes="0"/>
</table>
</file>

<file path=xl/tables/table51.xml><?xml version="1.0" encoding="utf-8"?>
<table xmlns="http://schemas.openxmlformats.org/spreadsheetml/2006/main" id="214" name="Table214" displayName="Table214" ref="J206:K212" totalsRowShown="0">
  <autoFilter ref="J206:K212"/>
  <tableColumns count="2">
    <tableColumn id="1" name="CLS 63 AMG S Options" dataDxfId="348"/>
    <tableColumn id="2" name="Price" dataDxfId="347" dataCellStyle="Currency"/>
  </tableColumns>
  <tableStyleInfo name="TableStyleLight8" showFirstColumn="0" showLastColumn="0" showRowStripes="1" showColumnStripes="0"/>
</table>
</file>

<file path=xl/tables/table52.xml><?xml version="1.0" encoding="utf-8"?>
<table xmlns="http://schemas.openxmlformats.org/spreadsheetml/2006/main" id="224" name="Table224" displayName="Table224" ref="A223:B231" totalsRowShown="0" tableBorderDxfId="346">
  <autoFilter ref="A223:B231"/>
  <tableColumns count="2">
    <tableColumn id="1" name="CLS 250 CDI Options" dataDxfId="345" dataCellStyle="Currency"/>
    <tableColumn id="2" name="Price" dataDxfId="344" dataCellStyle="Currency"/>
  </tableColumns>
  <tableStyleInfo name="TableStyleLight8" showFirstColumn="0" showLastColumn="0" showRowStripes="1" showColumnStripes="0"/>
</table>
</file>

<file path=xl/tables/table53.xml><?xml version="1.0" encoding="utf-8"?>
<table xmlns="http://schemas.openxmlformats.org/spreadsheetml/2006/main" id="225" name="Table225" displayName="Table225" ref="D223:E227" totalsRowShown="0" tableBorderDxfId="343">
  <autoFilter ref="D223:E227"/>
  <tableColumns count="2">
    <tableColumn id="1" name="CLS 500 Options " dataDxfId="342" dataCellStyle="Currency"/>
    <tableColumn id="2" name="Price" dataDxfId="341" dataCellStyle="Currency"/>
  </tableColumns>
  <tableStyleInfo name="TableStyleLight8" showFirstColumn="0" showLastColumn="0" showRowStripes="1" showColumnStripes="0"/>
</table>
</file>

<file path=xl/tables/table54.xml><?xml version="1.0" encoding="utf-8"?>
<table xmlns="http://schemas.openxmlformats.org/spreadsheetml/2006/main" id="229" name="Table229" displayName="Table229" ref="A234:B243" totalsRowShown="0">
  <autoFilter ref="A234:B243"/>
  <tableColumns count="2">
    <tableColumn id="1" name="C 200 Sedan Options" dataDxfId="340" dataCellStyle="Currency"/>
    <tableColumn id="2" name="Price" dataCellStyle="Currency"/>
  </tableColumns>
  <tableStyleInfo name="TableStyleLight8" showFirstColumn="0" showLastColumn="0" showRowStripes="1" showColumnStripes="0"/>
</table>
</file>

<file path=xl/tables/table55.xml><?xml version="1.0" encoding="utf-8"?>
<table xmlns="http://schemas.openxmlformats.org/spreadsheetml/2006/main" id="230" name="Table230" displayName="Table230" ref="Y234:Z244" totalsRowShown="0" tableBorderDxfId="339">
  <autoFilter ref="Y234:Z244"/>
  <tableColumns count="2">
    <tableColumn id="1" name="C 300 BlueTEC Hybrid Sedan Options" dataDxfId="338" dataCellStyle="Currency"/>
    <tableColumn id="2" name="Price" dataDxfId="337" dataCellStyle="Currency"/>
  </tableColumns>
  <tableStyleInfo name="TableStyleLight8" showFirstColumn="0" showLastColumn="0" showRowStripes="1" showColumnStripes="0"/>
</table>
</file>

<file path=xl/tables/table56.xml><?xml version="1.0" encoding="utf-8"?>
<table xmlns="http://schemas.openxmlformats.org/spreadsheetml/2006/main" id="231" name="Table231" displayName="Table231" ref="AE234:AF236" totalsRowShown="0">
  <autoFilter ref="AE234:AF236"/>
  <tableColumns count="2">
    <tableColumn id="1" name="AMG C 63 S Estate"/>
    <tableColumn id="2" name="Price" dataCellStyle="Currency"/>
  </tableColumns>
  <tableStyleInfo name="TableStyleLight8" showFirstColumn="0" showLastColumn="0" showRowStripes="1" showColumnStripes="0"/>
</table>
</file>

<file path=xl/tables/table57.xml><?xml version="1.0" encoding="utf-8"?>
<table xmlns="http://schemas.openxmlformats.org/spreadsheetml/2006/main" id="161" name="Table161" displayName="Table161" ref="A246:B254" totalsRowShown="0">
  <autoFilter ref="A246:B254"/>
  <tableColumns count="2">
    <tableColumn id="1" name="B 180 Options"/>
    <tableColumn id="2" name="Price" dataDxfId="336" dataCellStyle="Currency"/>
  </tableColumns>
  <tableStyleInfo name="TableStyleLight8" showFirstColumn="0" showLastColumn="0" showRowStripes="1" showColumnStripes="0"/>
</table>
</file>

<file path=xl/tables/table58.xml><?xml version="1.0" encoding="utf-8"?>
<table xmlns="http://schemas.openxmlformats.org/spreadsheetml/2006/main" id="162" name="Table162" displayName="Table162" ref="D246:E255" totalsRowShown="0" tableBorderDxfId="335">
  <autoFilter ref="D246:E255"/>
  <tableColumns count="2">
    <tableColumn id="1" name="B 200 Options" dataDxfId="334"/>
    <tableColumn id="2" name="Price" dataDxfId="333" dataCellStyle="Currency"/>
  </tableColumns>
  <tableStyleInfo name="TableStyleLight8" showFirstColumn="0" showLastColumn="0" showRowStripes="1" showColumnStripes="0"/>
</table>
</file>

<file path=xl/tables/table59.xml><?xml version="1.0" encoding="utf-8"?>
<table xmlns="http://schemas.openxmlformats.org/spreadsheetml/2006/main" id="163" name="Table163" displayName="Table163" ref="G246:H251" totalsRowShown="0">
  <autoFilter ref="G246:H251"/>
  <tableColumns count="2">
    <tableColumn id="1" name="B 250 4 MATIC Options" dataDxfId="332"/>
    <tableColumn id="2" name="Price" dataDxfId="331" dataCellStyle="Currency"/>
  </tableColumns>
  <tableStyleInfo name="TableStyleLight8" showFirstColumn="0" showLastColumn="0" showRowStripes="1" showColumnStripes="0"/>
</table>
</file>

<file path=xl/tables/table60.xml><?xml version="1.0" encoding="utf-8"?>
<table xmlns="http://schemas.openxmlformats.org/spreadsheetml/2006/main" id="250" name="Table250" displayName="Table250" ref="A75:B82" totalsRowShown="0">
  <autoFilter ref="A75:B82"/>
  <tableColumns count="2">
    <tableColumn id="1" name="V 250 BlueTEC AVANTGARDE Options"/>
    <tableColumn id="2" name="Price" dataDxfId="330" dataCellStyle="Currency"/>
  </tableColumns>
  <tableStyleInfo name="TableStyleLight8" showFirstColumn="0" showLastColumn="0" showRowStripes="1" showColumnStripes="0"/>
</table>
</file>

<file path=xl/tables/table61.xml><?xml version="1.0" encoding="utf-8"?>
<table xmlns="http://schemas.openxmlformats.org/spreadsheetml/2006/main" id="251" name="Table194196197198200252" displayName="Table194196197198200252" ref="V181:W200" totalsRowShown="0" dataCellStyle="Currency">
  <autoFilter ref="V181:W200"/>
  <tableColumns count="2">
    <tableColumn id="1" name="E400 W/Exclusive Options" dataDxfId="329" dataCellStyle="Currency"/>
    <tableColumn id="2" name="Price" dataCellStyle="Currency"/>
  </tableColumns>
  <tableStyleInfo name="TableStyleLight8" showFirstColumn="0" showLastColumn="0" showRowStripes="1" showColumnStripes="0"/>
</table>
</file>

<file path=xl/tables/table62.xml><?xml version="1.0" encoding="utf-8"?>
<table xmlns="http://schemas.openxmlformats.org/spreadsheetml/2006/main" id="252" name="Table229253" displayName="Table229253" ref="D234:E243" totalsRowShown="0">
  <autoFilter ref="D234:E243"/>
  <tableColumns count="2">
    <tableColumn id="1" name="C 200 Estate Options" dataDxfId="328" dataCellStyle="Currency"/>
    <tableColumn id="2" name="Price" dataCellStyle="Currency"/>
  </tableColumns>
  <tableStyleInfo name="TableStyleLight8" showFirstColumn="0" showLastColumn="0" showRowStripes="1" showColumnStripes="0"/>
</table>
</file>

<file path=xl/tables/table63.xml><?xml version="1.0" encoding="utf-8"?>
<table xmlns="http://schemas.openxmlformats.org/spreadsheetml/2006/main" id="253" name="Table229254" displayName="Table229254" ref="G234:H243" totalsRowShown="0">
  <autoFilter ref="G234:H243"/>
  <tableColumns count="2">
    <tableColumn id="1" name="C 200 BlueTEC Sedan Options" dataDxfId="327" dataCellStyle="Currency"/>
    <tableColumn id="2" name="Price" dataCellStyle="Currency"/>
  </tableColumns>
  <tableStyleInfo name="TableStyleLight8" showFirstColumn="0" showLastColumn="0" showRowStripes="1" showColumnStripes="0"/>
</table>
</file>

<file path=xl/tables/table64.xml><?xml version="1.0" encoding="utf-8"?>
<table xmlns="http://schemas.openxmlformats.org/spreadsheetml/2006/main" id="254" name="Table229253255" displayName="Table229253255" ref="J234:K243" totalsRowShown="0">
  <autoFilter ref="J234:K243"/>
  <tableColumns count="2">
    <tableColumn id="1" name="C 200 BlueTEC Estate Options" dataDxfId="326" dataCellStyle="Currency"/>
    <tableColumn id="2" name="Price" dataCellStyle="Currency"/>
  </tableColumns>
  <tableStyleInfo name="TableStyleLight8" showFirstColumn="0" showLastColumn="0" showRowStripes="1" showColumnStripes="0"/>
</table>
</file>

<file path=xl/tables/table65.xml><?xml version="1.0" encoding="utf-8"?>
<table xmlns="http://schemas.openxmlformats.org/spreadsheetml/2006/main" id="255" name="Table230256" displayName="Table230256" ref="M234:N244" totalsRowShown="0" tableBorderDxfId="325">
  <autoFilter ref="M234:N244"/>
  <tableColumns count="2">
    <tableColumn id="1" name="C250 Sedan Options" dataDxfId="324" dataCellStyle="Currency"/>
    <tableColumn id="2" name="Price" dataDxfId="323" dataCellStyle="Currency"/>
  </tableColumns>
  <tableStyleInfo name="TableStyleLight8" showFirstColumn="0" showLastColumn="0" showRowStripes="1" showColumnStripes="0"/>
</table>
</file>

<file path=xl/tables/table66.xml><?xml version="1.0" encoding="utf-8"?>
<table xmlns="http://schemas.openxmlformats.org/spreadsheetml/2006/main" id="256" name="Table230256257" displayName="Table230256257" ref="P234:Q244" totalsRowShown="0" tableBorderDxfId="322">
  <autoFilter ref="P234:Q244"/>
  <tableColumns count="2">
    <tableColumn id="1" name="C250 Estate Options" dataDxfId="321" dataCellStyle="Currency"/>
    <tableColumn id="2" name="Price" dataDxfId="320" dataCellStyle="Currency"/>
  </tableColumns>
  <tableStyleInfo name="TableStyleLight8" showFirstColumn="0" showLastColumn="0" showRowStripes="1" showColumnStripes="0"/>
</table>
</file>

<file path=xl/tables/table67.xml><?xml version="1.0" encoding="utf-8"?>
<table xmlns="http://schemas.openxmlformats.org/spreadsheetml/2006/main" id="257" name="Table230256258" displayName="Table230256258" ref="S234:T244" totalsRowShown="0" tableBorderDxfId="319">
  <autoFilter ref="S234:T244"/>
  <tableColumns count="2">
    <tableColumn id="1" name="C250 BlueTEC Sedan Options" dataDxfId="318" dataCellStyle="Currency"/>
    <tableColumn id="2" name="Price" dataDxfId="317" dataCellStyle="Currency"/>
  </tableColumns>
  <tableStyleInfo name="TableStyleLight8" showFirstColumn="0" showLastColumn="0" showRowStripes="1" showColumnStripes="0"/>
</table>
</file>

<file path=xl/tables/table68.xml><?xml version="1.0" encoding="utf-8"?>
<table xmlns="http://schemas.openxmlformats.org/spreadsheetml/2006/main" id="258" name="Table230256257259" displayName="Table230256257259" ref="V234:W244" totalsRowShown="0" tableBorderDxfId="316">
  <autoFilter ref="V234:W244"/>
  <tableColumns count="2">
    <tableColumn id="1" name="C250 BlueTEC Estate Options" dataDxfId="315" dataCellStyle="Currency"/>
    <tableColumn id="2" name="Price" dataDxfId="314" dataCellStyle="Currency"/>
  </tableColumns>
  <tableStyleInfo name="TableStyleLight8" showFirstColumn="0" showLastColumn="0" showRowStripes="1" showColumnStripes="0"/>
</table>
</file>

<file path=xl/tables/table69.xml><?xml version="1.0" encoding="utf-8"?>
<table xmlns="http://schemas.openxmlformats.org/spreadsheetml/2006/main" id="259" name="Table231260" displayName="Table231260" ref="AB234:AC236" totalsRowShown="0">
  <autoFilter ref="AB234:AC236"/>
  <tableColumns count="2">
    <tableColumn id="1" name="AMG C 63 S Sedan"/>
    <tableColumn id="2" name="Price" dataCellStyle="Currency"/>
  </tableColumns>
  <tableStyleInfo name="TableStyleLight8" showFirstColumn="0" showLastColumn="0" showRowStripes="1" showColumnStripes="0"/>
</table>
</file>

<file path=xl/tables/table70.xml><?xml version="1.0" encoding="utf-8"?>
<table xmlns="http://schemas.openxmlformats.org/spreadsheetml/2006/main" id="3" name="Table3" displayName="Table3" ref="A1:B18" totalsRowShown="0">
  <autoFilter ref="A1:B18"/>
  <tableColumns count="2">
    <tableColumn id="1" name="SLK 200 Paint Work"/>
    <tableColumn id="2" name="Price" dataDxfId="313" dataCellStyle="Currency"/>
  </tableColumns>
  <tableStyleInfo name="TableStyleLight8" showFirstColumn="0" showLastColumn="0" showRowStripes="1" showColumnStripes="0"/>
</table>
</file>

<file path=xl/tables/table71.xml><?xml version="1.0" encoding="utf-8"?>
<table xmlns="http://schemas.openxmlformats.org/spreadsheetml/2006/main" id="7" name="Table7" displayName="Table7" ref="D1:E18" totalsRowShown="0" tableBorderDxfId="312">
  <autoFilter ref="D1:E18"/>
  <tableColumns count="2">
    <tableColumn id="1" name="SLK 250 Paint Work" dataDxfId="311"/>
    <tableColumn id="2" name="Price" dataDxfId="310" dataCellStyle="Currency"/>
  </tableColumns>
  <tableStyleInfo name="TableStyleLight8" showFirstColumn="0" showLastColumn="0" showRowStripes="1" showColumnStripes="0"/>
</table>
</file>

<file path=xl/tables/table72.xml><?xml version="1.0" encoding="utf-8"?>
<table xmlns="http://schemas.openxmlformats.org/spreadsheetml/2006/main" id="12" name="Table713" displayName="Table713" ref="G1:H18" totalsRowShown="0" tableBorderDxfId="309">
  <autoFilter ref="G1:H18"/>
  <tableColumns count="2">
    <tableColumn id="1" name="SLK 350 Paint Work" dataDxfId="308"/>
    <tableColumn id="2" name="Price" dataDxfId="307" dataCellStyle="Currency"/>
  </tableColumns>
  <tableStyleInfo name="TableStyleLight8" showFirstColumn="0" showLastColumn="0" showRowStripes="1" showColumnStripes="0"/>
</table>
</file>

<file path=xl/tables/table73.xml><?xml version="1.0" encoding="utf-8"?>
<table xmlns="http://schemas.openxmlformats.org/spreadsheetml/2006/main" id="17" name="Table17" displayName="Table17" ref="J1:K18" totalsRowShown="0" tableBorderDxfId="306">
  <autoFilter ref="J1:K18"/>
  <tableColumns count="2">
    <tableColumn id="1" name="SLK 55 AMG Paint" dataDxfId="305"/>
    <tableColumn id="2" name="Price" dataDxfId="304" dataCellStyle="Currency"/>
  </tableColumns>
  <tableStyleInfo name="TableStyleLight8" showFirstColumn="0" showLastColumn="0" showRowStripes="1" showColumnStripes="0"/>
</table>
</file>

<file path=xl/tables/table74.xml><?xml version="1.0" encoding="utf-8"?>
<table xmlns="http://schemas.openxmlformats.org/spreadsheetml/2006/main" id="22" name="Table22" displayName="Table22" ref="A21:B31" totalsRowShown="0">
  <autoFilter ref="A21:B31"/>
  <tableColumns count="2">
    <tableColumn id="1" name="GLA 200 CDI Paint Work"/>
    <tableColumn id="2" name="Price" dataDxfId="303" dataCellStyle="Currency"/>
  </tableColumns>
  <tableStyleInfo name="TableStyleLight8" showFirstColumn="0" showLastColumn="0" showRowStripes="1" showColumnStripes="0"/>
</table>
</file>

<file path=xl/tables/table75.xml><?xml version="1.0" encoding="utf-8"?>
<table xmlns="http://schemas.openxmlformats.org/spreadsheetml/2006/main" id="27" name="Table27" displayName="Table27" ref="D21:E31" totalsRowShown="0" tableBorderDxfId="302">
  <autoFilter ref="D21:E31"/>
  <tableColumns count="2">
    <tableColumn id="1" name="GLA 250 4MATIC Paint Work" dataDxfId="301"/>
    <tableColumn id="2" name="Price" dataDxfId="300" dataCellStyle="Currency"/>
  </tableColumns>
  <tableStyleInfo name="TableStyleLight8" showFirstColumn="0" showLastColumn="0" showRowStripes="1" showColumnStripes="0"/>
</table>
</file>

<file path=xl/tables/table76.xml><?xml version="1.0" encoding="utf-8"?>
<table xmlns="http://schemas.openxmlformats.org/spreadsheetml/2006/main" id="32" name="Table2733" displayName="Table2733" ref="G21:H31" totalsRowShown="0" tableBorderDxfId="299">
  <autoFilter ref="G21:H31"/>
  <tableColumns count="2">
    <tableColumn id="1" name="GLA 250 45 AMG 4MATIC Paint Work" dataDxfId="298"/>
    <tableColumn id="2" name="Price" dataDxfId="297" dataCellStyle="Currency"/>
  </tableColumns>
  <tableStyleInfo name="TableStyleLight8" showFirstColumn="0" showLastColumn="0" showRowStripes="1" showColumnStripes="0"/>
</table>
</file>

<file path=xl/tables/table77.xml><?xml version="1.0" encoding="utf-8"?>
<table xmlns="http://schemas.openxmlformats.org/spreadsheetml/2006/main" id="37" name="Table37" displayName="Table37" ref="A34:B38" totalsRowShown="0">
  <autoFilter ref="A34:B38"/>
  <tableColumns count="2">
    <tableColumn id="1" name="G 350 BlueTEC Paint Work" dataDxfId="296"/>
    <tableColumn id="2" name="Price" dataCellStyle="Currency"/>
  </tableColumns>
  <tableStyleInfo name="TableStyleLight8" showFirstColumn="0" showLastColumn="0" showRowStripes="1" showColumnStripes="0"/>
</table>
</file>

<file path=xl/tables/table78.xml><?xml version="1.0" encoding="utf-8"?>
<table xmlns="http://schemas.openxmlformats.org/spreadsheetml/2006/main" id="42" name="Table3743" displayName="Table3743" ref="D34:E38" totalsRowShown="0">
  <autoFilter ref="D34:E38"/>
  <tableColumns count="2">
    <tableColumn id="1" name="G 500 Paint Work" dataDxfId="295"/>
    <tableColumn id="2" name="Price" dataCellStyle="Currency"/>
  </tableColumns>
  <tableStyleInfo name="TableStyleLight8" showFirstColumn="0" showLastColumn="0" showRowStripes="1" showColumnStripes="0"/>
</table>
</file>

<file path=xl/tables/table79.xml><?xml version="1.0" encoding="utf-8"?>
<table xmlns="http://schemas.openxmlformats.org/spreadsheetml/2006/main" id="46" name="Table374347" displayName="Table374347" ref="G34:H38" totalsRowShown="0">
  <autoFilter ref="G34:H38"/>
  <tableColumns count="2">
    <tableColumn id="1" name="G 63 AMG Paint Work" dataDxfId="294"/>
    <tableColumn id="2" name="Price" dataCellStyle="Currency"/>
  </tableColumns>
  <tableStyleInfo name="TableStyleLight8" showFirstColumn="0" showLastColumn="0" showRowStripes="1" showColumnStripes="0"/>
</table>
</file>

<file path=xl/tables/table80.xml><?xml version="1.0" encoding="utf-8"?>
<table xmlns="http://schemas.openxmlformats.org/spreadsheetml/2006/main" id="51" name="Table51" displayName="Table51" ref="A41:B48" totalsRowShown="0">
  <autoFilter ref="A41:B48"/>
  <tableColumns count="2">
    <tableColumn id="1" name="CLA 200 Paint Work" dataDxfId="293"/>
    <tableColumn id="2" name="Price" dataDxfId="292" dataCellStyle="Currency"/>
  </tableColumns>
  <tableStyleInfo name="TableStyleLight8" showFirstColumn="0" showLastColumn="0" showRowStripes="1" showColumnStripes="0"/>
</table>
</file>

<file path=xl/tables/table81.xml><?xml version="1.0" encoding="utf-8"?>
<table xmlns="http://schemas.openxmlformats.org/spreadsheetml/2006/main" id="56" name="Table5157" displayName="Table5157" ref="D41:E48" totalsRowShown="0">
  <autoFilter ref="D41:E48"/>
  <tableColumns count="2">
    <tableColumn id="1" name="CLA 200 CDI Paint Work" dataDxfId="291"/>
    <tableColumn id="2" name="Price" dataDxfId="290" dataCellStyle="Currency"/>
  </tableColumns>
  <tableStyleInfo name="TableStyleLight8" showFirstColumn="0" showLastColumn="0" showRowStripes="1" showColumnStripes="0"/>
</table>
</file>

<file path=xl/tables/table82.xml><?xml version="1.0" encoding="utf-8"?>
<table xmlns="http://schemas.openxmlformats.org/spreadsheetml/2006/main" id="61" name="Table515762" displayName="Table515762" ref="G41:H48" totalsRowShown="0">
  <autoFilter ref="G41:H48"/>
  <tableColumns count="2">
    <tableColumn id="1" name="CLA 250 Sport Paint Work" dataDxfId="289"/>
    <tableColumn id="2" name="Price" dataDxfId="288" dataCellStyle="Currency"/>
  </tableColumns>
  <tableStyleInfo name="TableStyleLight8" showFirstColumn="0" showLastColumn="0" showRowStripes="1" showColumnStripes="0"/>
</table>
</file>

<file path=xl/tables/table83.xml><?xml version="1.0" encoding="utf-8"?>
<table xmlns="http://schemas.openxmlformats.org/spreadsheetml/2006/main" id="66" name="Table66" displayName="Table66" ref="J41:K48" totalsRowShown="0">
  <autoFilter ref="J41:K48"/>
  <tableColumns count="2">
    <tableColumn id="1" name="CLA 45 AMG Paint Work" dataDxfId="287"/>
    <tableColumn id="2" name="Price" dataDxfId="286" dataCellStyle="Currency"/>
  </tableColumns>
  <tableStyleInfo name="TableStyleLight8" showFirstColumn="0" showLastColumn="0" showRowStripes="1" showColumnStripes="0"/>
</table>
</file>

<file path=xl/tables/table84.xml><?xml version="1.0" encoding="utf-8"?>
<table xmlns="http://schemas.openxmlformats.org/spreadsheetml/2006/main" id="75" name="Table75" displayName="Table75" ref="A51:B60" totalsRowShown="0">
  <autoFilter ref="A51:B60"/>
  <tableColumns count="2">
    <tableColumn id="1" name="A 180 Paint Work" dataDxfId="285"/>
    <tableColumn id="2" name="Price" dataDxfId="284" dataCellStyle="Currency"/>
  </tableColumns>
  <tableStyleInfo name="TableStyleLight8" showFirstColumn="0" showLastColumn="0" showRowStripes="1" showColumnStripes="0"/>
</table>
</file>

<file path=xl/tables/table85.xml><?xml version="1.0" encoding="utf-8"?>
<table xmlns="http://schemas.openxmlformats.org/spreadsheetml/2006/main" id="76" name="Table7577" displayName="Table7577" ref="D51:E60" totalsRowShown="0">
  <autoFilter ref="D51:E60"/>
  <tableColumns count="2">
    <tableColumn id="1" name="A 200 Paint Work" dataDxfId="283"/>
    <tableColumn id="2" name="Price" dataDxfId="282" dataCellStyle="Currency"/>
  </tableColumns>
  <tableStyleInfo name="TableStyleLight8" showFirstColumn="0" showLastColumn="0" showRowStripes="1" showColumnStripes="0"/>
</table>
</file>

<file path=xl/tables/table86.xml><?xml version="1.0" encoding="utf-8"?>
<table xmlns="http://schemas.openxmlformats.org/spreadsheetml/2006/main" id="77" name="Table7578" displayName="Table7578" ref="G51:H60" totalsRowShown="0">
  <autoFilter ref="G51:H60"/>
  <tableColumns count="2">
    <tableColumn id="1" name="A 200 CDI Paint Work" dataDxfId="281"/>
    <tableColumn id="2" name="Price" dataDxfId="280" dataCellStyle="Currency"/>
  </tableColumns>
  <tableStyleInfo name="TableStyleLight8" showFirstColumn="0" showLastColumn="0" showRowStripes="1" showColumnStripes="0"/>
</table>
</file>

<file path=xl/tables/table87.xml><?xml version="1.0" encoding="utf-8"?>
<table xmlns="http://schemas.openxmlformats.org/spreadsheetml/2006/main" id="78" name="Table7579" displayName="Table7579" ref="J51:K60" totalsRowShown="0">
  <autoFilter ref="J51:K60"/>
  <tableColumns count="2">
    <tableColumn id="1" name="A 250 Sport Paint Work" dataDxfId="279"/>
    <tableColumn id="2" name="Price" dataDxfId="278" dataCellStyle="Currency"/>
  </tableColumns>
  <tableStyleInfo name="TableStyleLight8" showFirstColumn="0" showLastColumn="0" showRowStripes="1" showColumnStripes="0"/>
</table>
</file>

<file path=xl/tables/table88.xml><?xml version="1.0" encoding="utf-8"?>
<table xmlns="http://schemas.openxmlformats.org/spreadsheetml/2006/main" id="79" name="Table7580" displayName="Table7580" ref="M51:N60" totalsRowShown="0">
  <autoFilter ref="M51:N60"/>
  <tableColumns count="2">
    <tableColumn id="1" name="A 45 AMG Paint Work" dataDxfId="277"/>
    <tableColumn id="2" name="Price" dataDxfId="276" dataCellStyle="Currency"/>
  </tableColumns>
  <tableStyleInfo name="TableStyleLight8" showFirstColumn="0" showLastColumn="0" showRowStripes="1" showColumnStripes="0"/>
</table>
</file>

<file path=xl/tables/table89.xml><?xml version="1.0" encoding="utf-8"?>
<table xmlns="http://schemas.openxmlformats.org/spreadsheetml/2006/main" id="96" name="Table96" displayName="Table96" ref="A63:B71" totalsRowShown="0">
  <autoFilter ref="A63:B71"/>
  <tableColumns count="2">
    <tableColumn id="1" name="V 250 BlueTEC AVANTGARDE Paint Work"/>
    <tableColumn id="2" name="Price" dataDxfId="275" dataCellStyle="Currency"/>
  </tableColumns>
  <tableStyleInfo name="TableStyleLight8" showFirstColumn="0" showLastColumn="0" showRowStripes="1" showColumnStripes="0"/>
</table>
</file>

<file path=xl/tables/table90.xml><?xml version="1.0" encoding="utf-8"?>
<table xmlns="http://schemas.openxmlformats.org/spreadsheetml/2006/main" id="104" name="Table104" displayName="Table104" ref="A74:B90" totalsRowShown="0">
  <autoFilter ref="A74:B90"/>
  <tableColumns count="2">
    <tableColumn id="1" name="SL- Class Roadster  Paint Work" dataDxfId="274"/>
    <tableColumn id="2" name="Price" dataDxfId="273" dataCellStyle="Currency"/>
  </tableColumns>
  <tableStyleInfo name="TableStyleLight8" showFirstColumn="0" showLastColumn="0" showRowStripes="1" showColumnStripes="0"/>
</table>
</file>

<file path=xl/tables/table91.xml><?xml version="1.0" encoding="utf-8"?>
<table xmlns="http://schemas.openxmlformats.org/spreadsheetml/2006/main" id="127" name="Table104128" displayName="Table104128" ref="A93:B108" totalsRowShown="0">
  <autoFilter ref="A93:B108"/>
  <tableColumns count="2">
    <tableColumn id="1" name="S-Class Saloon  Paint Work" dataDxfId="272"/>
    <tableColumn id="2" name="Price" dataDxfId="271" dataCellStyle="Currency"/>
  </tableColumns>
  <tableStyleInfo name="TableStyleLight8" showFirstColumn="0" showLastColumn="0" showRowStripes="1" showColumnStripes="0"/>
</table>
</file>

<file path=xl/tables/table92.xml><?xml version="1.0" encoding="utf-8"?>
<table xmlns="http://schemas.openxmlformats.org/spreadsheetml/2006/main" id="171" name="Table104128172" displayName="Table104128172" ref="A111:B125" totalsRowShown="0">
  <autoFilter ref="A111:B125"/>
  <tableColumns count="2">
    <tableColumn id="1" name="S-Class Coupe  Paint Work" dataDxfId="270"/>
    <tableColumn id="2" name="Price" dataDxfId="269" dataCellStyle="Currency"/>
  </tableColumns>
  <tableStyleInfo name="TableStyleLight8" showFirstColumn="0" showLastColumn="0" showRowStripes="1" showColumnStripes="0"/>
</table>
</file>

<file path=xl/tables/table93.xml><?xml version="1.0" encoding="utf-8"?>
<table xmlns="http://schemas.openxmlformats.org/spreadsheetml/2006/main" id="187" name="Table104128188" displayName="Table104128188" ref="A128:B139" totalsRowShown="0">
  <autoFilter ref="A128:B139"/>
  <tableColumns count="2">
    <tableColumn id="1" name="GL-Class Paint Work" dataDxfId="268"/>
    <tableColumn id="2" name="Price" dataDxfId="267" dataCellStyle="Currency"/>
  </tableColumns>
  <tableStyleInfo name="TableStyleLight8" showFirstColumn="0" showLastColumn="0" showRowStripes="1" showColumnStripes="0"/>
</table>
</file>

<file path=xl/tables/table94.xml><?xml version="1.0" encoding="utf-8"?>
<table xmlns="http://schemas.openxmlformats.org/spreadsheetml/2006/main" id="204" name="Table104205" displayName="Table104205" ref="A142:B154" totalsRowShown="0">
  <autoFilter ref="A142:B154"/>
  <tableColumns count="2">
    <tableColumn id="1" name="E- 200, 220, 250 and 300 Paint Work" dataDxfId="266"/>
    <tableColumn id="2" name="Price" dataDxfId="265" dataCellStyle="Currency"/>
  </tableColumns>
  <tableStyleInfo name="TableStyleLight8" showFirstColumn="0" showLastColumn="0" showRowStripes="1" showColumnStripes="0"/>
</table>
</file>

<file path=xl/tables/table95.xml><?xml version="1.0" encoding="utf-8"?>
<table xmlns="http://schemas.openxmlformats.org/spreadsheetml/2006/main" id="205" name="Table104205206" displayName="Table104205206" ref="D142:E152" totalsRowShown="0">
  <autoFilter ref="D142:E152"/>
  <tableColumns count="2">
    <tableColumn id="1" name="E 400 and E 63 AMG S Paint Work" dataDxfId="264"/>
    <tableColumn id="2" name="Price" dataDxfId="263" dataCellStyle="Currency"/>
  </tableColumns>
  <tableStyleInfo name="TableStyleLight8" showFirstColumn="0" showLastColumn="0" showRowStripes="1" showColumnStripes="0"/>
</table>
</file>

<file path=xl/tables/table96.xml><?xml version="1.0" encoding="utf-8"?>
<table xmlns="http://schemas.openxmlformats.org/spreadsheetml/2006/main" id="218" name="Table218" displayName="Table218" ref="A160:B174" totalsRowShown="0">
  <autoFilter ref="A160:B174"/>
  <tableColumns count="2">
    <tableColumn id="1" name="CLS-Class Paint Work" dataDxfId="262"/>
    <tableColumn id="2" name="Price" dataDxfId="261" dataCellStyle="Currency"/>
  </tableColumns>
  <tableStyleInfo name="TableStyleLight8" showFirstColumn="0" showLastColumn="0" showRowStripes="1" showColumnStripes="0"/>
</table>
</file>

<file path=xl/tables/table97.xml><?xml version="1.0" encoding="utf-8"?>
<table xmlns="http://schemas.openxmlformats.org/spreadsheetml/2006/main" id="235" name="Table104205236" displayName="Table104205236" ref="A177:B187" totalsRowShown="0">
  <autoFilter ref="A177:B187"/>
  <tableColumns count="2">
    <tableColumn id="1" name="C-Class Paint Work" dataDxfId="260"/>
    <tableColumn id="2" name="Price" dataDxfId="259" dataCellStyle="Currency"/>
  </tableColumns>
  <tableStyleInfo name="TableStyleLight8" showFirstColumn="0" showLastColumn="0" showRowStripes="1" showColumnStripes="0"/>
</table>
</file>

<file path=xl/tables/table98.xml><?xml version="1.0" encoding="utf-8"?>
<table xmlns="http://schemas.openxmlformats.org/spreadsheetml/2006/main" id="236" name="Table104205236237" displayName="Table104205236237" ref="D177:E187" totalsRowShown="0">
  <autoFilter ref="D177:E187"/>
  <tableColumns count="2">
    <tableColumn id="1" name="AMG C 63 S Paint Work" dataDxfId="258"/>
    <tableColumn id="2" name="Price" dataDxfId="257" dataCellStyle="Currency"/>
  </tableColumns>
  <tableStyleInfo name="TableStyleLight8" showFirstColumn="0" showLastColumn="0" showRowStripes="1" showColumnStripes="0"/>
</table>
</file>

<file path=xl/tables/table99.xml><?xml version="1.0" encoding="utf-8"?>
<table xmlns="http://schemas.openxmlformats.org/spreadsheetml/2006/main" id="243" name="Table243" displayName="Table243" ref="A190:B199" totalsRowShown="0">
  <autoFilter ref="A190:B199"/>
  <tableColumns count="2">
    <tableColumn id="1" name="B-Class Paint"/>
    <tableColumn id="2" name="Price" dataDxfId="256" dataCellStyle="Currency"/>
  </tableColumns>
  <tableStyleInfo name="TableStyleLight8" showFirstColumn="0" showLastColumn="0" showRowStripes="1" showColumnStripes="0"/>
</table>
</file>

<file path=xl/tables/table100.xml><?xml version="1.0" encoding="utf-8"?>
<table xmlns="http://schemas.openxmlformats.org/spreadsheetml/2006/main" id="2" name="Table2" displayName="Table2" ref="A1:C6" totalsRowShown="0">
  <autoFilter ref="A1:C6"/>
  <tableColumns count="3">
    <tableColumn id="1" name="SLK 200 Wheels"/>
    <tableColumn id="2" name="Price" dataDxfId="255" dataCellStyle="Currency"/>
    <tableColumn id="3" name="Tyre Specs"/>
  </tableColumns>
  <tableStyleInfo name="TableStyleLight8" showFirstColumn="0" showLastColumn="0" showRowStripes="1" showColumnStripes="0"/>
</table>
</file>

<file path=xl/tables/table101.xml><?xml version="1.0" encoding="utf-8"?>
<table xmlns="http://schemas.openxmlformats.org/spreadsheetml/2006/main" id="8" name="Table8" displayName="Table8" ref="A9:C14" totalsRowShown="0">
  <autoFilter ref="A9:C14"/>
  <tableColumns count="3">
    <tableColumn id="1" name="SLK 250 Wheels" dataDxfId="254"/>
    <tableColumn id="2" name="Price" dataDxfId="253" dataCellStyle="Currency"/>
    <tableColumn id="3" name="Tyre Specs" dataDxfId="252"/>
  </tableColumns>
  <tableStyleInfo name="TableStyleLight8" showFirstColumn="0" showLastColumn="0" showRowStripes="1" showColumnStripes="0"/>
</table>
</file>

<file path=xl/tables/table102.xml><?xml version="1.0" encoding="utf-8"?>
<table xmlns="http://schemas.openxmlformats.org/spreadsheetml/2006/main" id="13" name="Table814" displayName="Table814" ref="A17:C23" totalsRowShown="0">
  <autoFilter ref="A17:C23"/>
  <tableColumns count="3">
    <tableColumn id="1" name="SLK 350 Wheels" dataDxfId="251"/>
    <tableColumn id="2" name="Price" dataDxfId="250" dataCellStyle="Currency"/>
    <tableColumn id="3" name="Tyre Specs" dataDxfId="249"/>
  </tableColumns>
  <tableStyleInfo name="TableStyleLight8" showFirstColumn="0" showLastColumn="0" showRowStripes="1" showColumnStripes="0"/>
</table>
</file>

<file path=xl/tables/table103.xml><?xml version="1.0" encoding="utf-8"?>
<table xmlns="http://schemas.openxmlformats.org/spreadsheetml/2006/main" id="18" name="Table18" displayName="Table18" ref="A25:C28" totalsRowShown="0">
  <autoFilter ref="A25:C28"/>
  <tableColumns count="3">
    <tableColumn id="1" name="SLK 55 AMG Wheels"/>
    <tableColumn id="2" name="Price" dataDxfId="248" dataCellStyle="Currency"/>
    <tableColumn id="3" name="Tyre Specs"/>
  </tableColumns>
  <tableStyleInfo name="TableStyleLight8" showFirstColumn="0" showLastColumn="0" showRowStripes="1" showColumnStripes="0"/>
</table>
</file>

<file path=xl/tables/table104.xml><?xml version="1.0" encoding="utf-8"?>
<table xmlns="http://schemas.openxmlformats.org/spreadsheetml/2006/main" id="23" name="Table23" displayName="Table23" ref="A31:C35" totalsRowShown="0">
  <autoFilter ref="A31:C35"/>
  <tableColumns count="3">
    <tableColumn id="1" name="GLA 200 CDI Wheels"/>
    <tableColumn id="2" name="Price" dataCellStyle="Currency"/>
    <tableColumn id="3" name="Tyre Specs" dataDxfId="247"/>
  </tableColumns>
  <tableStyleInfo name="TableStyleLight8" showFirstColumn="0" showLastColumn="0" showRowStripes="1" showColumnStripes="0"/>
</table>
</file>

<file path=xl/tables/table105.xml><?xml version="1.0" encoding="utf-8"?>
<table xmlns="http://schemas.openxmlformats.org/spreadsheetml/2006/main" id="28" name="Table28" displayName="Table28" ref="A38:C42" totalsRowShown="0" tableBorderDxfId="246">
  <autoFilter ref="A38:C42"/>
  <tableColumns count="3">
    <tableColumn id="1" name="GLA 250 4MATIC Wheels" dataDxfId="245"/>
    <tableColumn id="2" name="Price" dataDxfId="244" dataCellStyle="Currency"/>
    <tableColumn id="3" name="Tyre Specs" dataDxfId="243"/>
  </tableColumns>
  <tableStyleInfo name="TableStyleLight8" showFirstColumn="0" showLastColumn="0" showRowStripes="1" showColumnStripes="0"/>
</table>
</file>

<file path=xl/tables/table106.xml><?xml version="1.0" encoding="utf-8"?>
<table xmlns="http://schemas.openxmlformats.org/spreadsheetml/2006/main" id="33" name="Table33" displayName="Table33" ref="A45:C48" totalsRowShown="0" headerRowDxfId="242" tableBorderDxfId="241">
  <autoFilter ref="A45:C48"/>
  <tableColumns count="3">
    <tableColumn id="1" name="GLA 45 AMG 4MATIC Wheels"/>
    <tableColumn id="2" name="Price" dataCellStyle="Currency"/>
    <tableColumn id="3" name="Tyre Specs"/>
  </tableColumns>
  <tableStyleInfo name="TableStyleLight8" showFirstColumn="0" showLastColumn="0" showRowStripes="1" showColumnStripes="0"/>
</table>
</file>

<file path=xl/tables/table107.xml><?xml version="1.0" encoding="utf-8"?>
<table xmlns="http://schemas.openxmlformats.org/spreadsheetml/2006/main" id="38" name="Table38" displayName="Table38" ref="A51:C55" totalsRowShown="0">
  <autoFilter ref="A51:C55"/>
  <tableColumns count="3">
    <tableColumn id="1" name="G 350 BlueTEC Wheels"/>
    <tableColumn id="2" name="Price" dataCellStyle="Currency"/>
    <tableColumn id="3" name="Tyre Specs"/>
  </tableColumns>
  <tableStyleInfo name="TableStyleLight8" showFirstColumn="0" showLastColumn="0" showRowStripes="1" showColumnStripes="0"/>
</table>
</file>

<file path=xl/tables/table108.xml><?xml version="1.0" encoding="utf-8"?>
<table xmlns="http://schemas.openxmlformats.org/spreadsheetml/2006/main" id="47" name="Table47" displayName="Table47" ref="A64:C66" totalsRowShown="0">
  <autoFilter ref="A64:C66"/>
  <tableColumns count="3">
    <tableColumn id="1" name="G 63 AMG Wheels"/>
    <tableColumn id="2" name="Price " dataCellStyle="Currency"/>
    <tableColumn id="3" name="Tyre Specs"/>
  </tableColumns>
  <tableStyleInfo name="TableStyleLight8" showFirstColumn="0" showLastColumn="0" showRowStripes="1" showColumnStripes="0"/>
</table>
</file>

<file path=xl/tables/table109.xml><?xml version="1.0" encoding="utf-8"?>
<table xmlns="http://schemas.openxmlformats.org/spreadsheetml/2006/main" id="52" name="Table52" displayName="Table52" ref="A69:C73" totalsRowShown="0">
  <autoFilter ref="A69:C73"/>
  <tableColumns count="3">
    <tableColumn id="1" name="CLA 200 Wheels"/>
    <tableColumn id="2" name="Price " dataCellStyle="Currency"/>
    <tableColumn id="3" name="Tyre Specs" dataDxfId="240"/>
  </tableColumns>
  <tableStyleInfo name="TableStyleLight8" showFirstColumn="0" showLastColumn="0" showRowStripes="1" showColumnStripes="0"/>
</table>
</file>

<file path=xl/tables/table110.xml><?xml version="1.0" encoding="utf-8"?>
<table xmlns="http://schemas.openxmlformats.org/spreadsheetml/2006/main" id="57" name="Table5258" displayName="Table5258" ref="A76:C80" totalsRowShown="0">
  <autoFilter ref="A76:C80"/>
  <tableColumns count="3">
    <tableColumn id="1" name="CLA 200 CDI Wheels"/>
    <tableColumn id="2" name="Price " dataCellStyle="Currency"/>
    <tableColumn id="3" name="Tyre Specs" dataDxfId="239"/>
  </tableColumns>
  <tableStyleInfo name="TableStyleLight8" showFirstColumn="0" showLastColumn="0" showRowStripes="1" showColumnStripes="0"/>
</table>
</file>

<file path=xl/tables/table111.xml><?xml version="1.0" encoding="utf-8"?>
<table xmlns="http://schemas.openxmlformats.org/spreadsheetml/2006/main" id="62" name="Table62" displayName="Table62" ref="A83:C85" totalsRowShown="0">
  <autoFilter ref="A83:C85"/>
  <tableColumns count="3">
    <tableColumn id="1" name="CLA 250 Sport Wheels"/>
    <tableColumn id="2" name="Price " dataCellStyle="Currency"/>
    <tableColumn id="3" name="Tyre Specs" dataDxfId="238"/>
  </tableColumns>
  <tableStyleInfo name="TableStyleLight8" showFirstColumn="0" showLastColumn="0" showRowStripes="1" showColumnStripes="0"/>
</table>
</file>

<file path=xl/tables/table112.xml><?xml version="1.0" encoding="utf-8"?>
<table xmlns="http://schemas.openxmlformats.org/spreadsheetml/2006/main" id="67" name="Table67" displayName="Table67" ref="A88:C91" totalsRowShown="0">
  <autoFilter ref="A88:C91"/>
  <tableColumns count="3">
    <tableColumn id="1" name="CLA 45 AMG Wheels"/>
    <tableColumn id="2" name="Price" dataCellStyle="Currency"/>
    <tableColumn id="3" name="Tyre Specs" dataDxfId="237"/>
  </tableColumns>
  <tableStyleInfo name="TableStyleLight8" showFirstColumn="0" showLastColumn="0" showRowStripes="1" showColumnStripes="0"/>
</table>
</file>

<file path=xl/tables/table113.xml><?xml version="1.0" encoding="utf-8"?>
<table xmlns="http://schemas.openxmlformats.org/spreadsheetml/2006/main" id="80" name="Table80" displayName="Table80" ref="A94:C98" totalsRowShown="0" tableBorderDxfId="236">
  <autoFilter ref="A94:C98"/>
  <tableColumns count="3">
    <tableColumn id="1" name="A 180 Wheels" dataDxfId="235"/>
    <tableColumn id="2" name="Price" dataDxfId="234" dataCellStyle="Currency"/>
    <tableColumn id="3" name="Tyre Specs" dataDxfId="233"/>
  </tableColumns>
  <tableStyleInfo name="TableStyleLight8" showFirstColumn="0" showLastColumn="0" showRowStripes="1" showColumnStripes="0"/>
</table>
</file>

<file path=xl/tables/table114.xml><?xml version="1.0" encoding="utf-8"?>
<table xmlns="http://schemas.openxmlformats.org/spreadsheetml/2006/main" id="81" name="Table81" displayName="Table81" ref="A101:C105" totalsRowShown="0" tableBorderDxfId="232">
  <autoFilter ref="A101:C105"/>
  <tableColumns count="3">
    <tableColumn id="1" name="A 200 Wheels" dataDxfId="231"/>
    <tableColumn id="2" name="Price " dataCellStyle="Currency"/>
    <tableColumn id="3" name="Tyre Specs" dataDxfId="230"/>
  </tableColumns>
  <tableStyleInfo name="TableStyleLight8" showFirstColumn="0" showLastColumn="0" showRowStripes="1" showColumnStripes="0"/>
</table>
</file>

<file path=xl/tables/table115.xml><?xml version="1.0" encoding="utf-8"?>
<table xmlns="http://schemas.openxmlformats.org/spreadsheetml/2006/main" id="82" name="Table8183" displayName="Table8183" ref="A108:C112" totalsRowShown="0" tableBorderDxfId="229">
  <autoFilter ref="A108:C112"/>
  <tableColumns count="3">
    <tableColumn id="1" name="A 200 CDI Wheels" dataDxfId="228"/>
    <tableColumn id="2" name="Price " dataCellStyle="Currency"/>
    <tableColumn id="3" name="Tyre Specs" dataDxfId="227"/>
  </tableColumns>
  <tableStyleInfo name="TableStyleLight8" showFirstColumn="0" showLastColumn="0" showRowStripes="1" showColumnStripes="0"/>
</table>
</file>

<file path=xl/tables/table116.xml><?xml version="1.0" encoding="utf-8"?>
<table xmlns="http://schemas.openxmlformats.org/spreadsheetml/2006/main" id="83" name="Table83" displayName="Table83" ref="A115:C117" totalsRowShown="0" tableBorderDxfId="226">
  <autoFilter ref="A115:C117"/>
  <tableColumns count="3">
    <tableColumn id="1" name="A 250 Sport Wheels" dataDxfId="225"/>
    <tableColumn id="2" name="Price" dataDxfId="224" dataCellStyle="Currency"/>
    <tableColumn id="3" name="Tyre Specs" dataDxfId="223"/>
  </tableColumns>
  <tableStyleInfo name="TableStyleLight8" showFirstColumn="0" showLastColumn="0" showRowStripes="1" showColumnStripes="0"/>
</table>
</file>

<file path=xl/tables/table117.xml><?xml version="1.0" encoding="utf-8"?>
<table xmlns="http://schemas.openxmlformats.org/spreadsheetml/2006/main" id="84" name="Table84" displayName="Table84" ref="A120:C123" totalsRowShown="0" tableBorderDxfId="222">
  <autoFilter ref="A120:C123"/>
  <tableColumns count="3">
    <tableColumn id="1" name="A 45 AMG Wheels" dataDxfId="221"/>
    <tableColumn id="2" name="Price" dataDxfId="220" dataCellStyle="Currency"/>
    <tableColumn id="3" name="Tyre Specs" dataDxfId="219"/>
  </tableColumns>
  <tableStyleInfo name="TableStyleLight8" showFirstColumn="0" showLastColumn="0" showRowStripes="1" showColumnStripes="0"/>
</table>
</file>

<file path=xl/tables/table118.xml><?xml version="1.0" encoding="utf-8"?>
<table xmlns="http://schemas.openxmlformats.org/spreadsheetml/2006/main" id="97" name="Table97" displayName="Table97" ref="A126:C128" totalsRowShown="0">
  <autoFilter ref="A126:C128"/>
  <tableColumns count="3">
    <tableColumn id="1" name="V 250 BlueTEC AVANTGARDE Wheels"/>
    <tableColumn id="2" name="Price " dataDxfId="218" dataCellStyle="Currency"/>
    <tableColumn id="3" name="Tyre Spec"/>
  </tableColumns>
  <tableStyleInfo name="TableStyleLight8" showFirstColumn="0" showLastColumn="0" showRowStripes="1" showColumnStripes="0"/>
</table>
</file>

<file path=xl/tables/table119.xml><?xml version="1.0" encoding="utf-8"?>
<table xmlns="http://schemas.openxmlformats.org/spreadsheetml/2006/main" id="105" name="Table105" displayName="Table105" ref="A131:C136" totalsRowShown="0">
  <autoFilter ref="A131:C136"/>
  <tableColumns count="3">
    <tableColumn id="1" name="SL 400 Wheels"/>
    <tableColumn id="2" name="Price" dataCellStyle="Currency"/>
    <tableColumn id="3" name="Tyre Spec"/>
  </tableColumns>
  <tableStyleInfo name="TableStyleLight8" showFirstColumn="0" showLastColumn="0" showRowStripes="1" showColumnStripes="0"/>
</table>
</file>

<file path=xl/tables/table120.xml><?xml version="1.0" encoding="utf-8"?>
<table xmlns="http://schemas.openxmlformats.org/spreadsheetml/2006/main" id="106" name="Table106" displayName="Table106" ref="A139:C145" totalsRowShown="0">
  <autoFilter ref="A139:C145"/>
  <tableColumns count="3">
    <tableColumn id="1" name="SL 500 Wheels" dataDxfId="217"/>
    <tableColumn id="2" name="Price" dataDxfId="216" dataCellStyle="Currency"/>
    <tableColumn id="3" name="Tyre Spec" dataDxfId="215"/>
  </tableColumns>
  <tableStyleInfo name="TableStyleLight8" showFirstColumn="0" showLastColumn="0" showRowStripes="1" showColumnStripes="0"/>
</table>
</file>

<file path=xl/tables/table121.xml><?xml version="1.0" encoding="utf-8"?>
<table xmlns="http://schemas.openxmlformats.org/spreadsheetml/2006/main" id="107" name="Table107" displayName="Table107" ref="A148:C151" totalsRowShown="0">
  <autoFilter ref="A148:C151"/>
  <tableColumns count="3">
    <tableColumn id="1" name="AMG SL 63 Wheels"/>
    <tableColumn id="2" name="Price" dataCellStyle="Currency"/>
    <tableColumn id="3" name="Tyre Spec" dataDxfId="214"/>
  </tableColumns>
  <tableStyleInfo name="TableStyleLight8" showFirstColumn="0" showLastColumn="0" showRowStripes="1" showColumnStripes="0"/>
</table>
</file>

<file path=xl/tables/table122.xml><?xml version="1.0" encoding="utf-8"?>
<table xmlns="http://schemas.openxmlformats.org/spreadsheetml/2006/main" id="108" name="Table108" displayName="Table108" ref="A154:C157" totalsRowShown="0">
  <autoFilter ref="A154:C157"/>
  <tableColumns count="3">
    <tableColumn id="1" name="AMG SL 65 Wheels"/>
    <tableColumn id="2" name="Price" dataCellStyle="Currency"/>
    <tableColumn id="3" name="Tyre Spec" dataDxfId="213"/>
  </tableColumns>
  <tableStyleInfo name="TableStyleLight8" showFirstColumn="0" showLastColumn="0" showRowStripes="1" showColumnStripes="0"/>
</table>
</file>

<file path=xl/tables/table123.xml><?xml version="1.0" encoding="utf-8"?>
<table xmlns="http://schemas.openxmlformats.org/spreadsheetml/2006/main" id="128" name="Table128" displayName="Table128" ref="A160:C167" totalsRowShown="0">
  <autoFilter ref="A160:C167"/>
  <tableColumns count="3">
    <tableColumn id="1" name="S 300 h Wheels"/>
    <tableColumn id="2" name="Price " dataCellStyle="Currency"/>
    <tableColumn id="3" name="Tyre Specs" dataDxfId="212"/>
  </tableColumns>
  <tableStyleInfo name="TableStyleLight8" showFirstColumn="0" showLastColumn="0" showRowStripes="1" showColumnStripes="0"/>
</table>
</file>

<file path=xl/tables/table124.xml><?xml version="1.0" encoding="utf-8"?>
<table xmlns="http://schemas.openxmlformats.org/spreadsheetml/2006/main" id="129" name="Table128130" displayName="Table128130" ref="A170:C177" totalsRowShown="0">
  <autoFilter ref="A170:C177"/>
  <tableColumns count="3">
    <tableColumn id="1" name="S 350 d Wheels"/>
    <tableColumn id="2" name="Price " dataCellStyle="Currency"/>
    <tableColumn id="3" name="Tyre Specs" dataDxfId="211"/>
  </tableColumns>
  <tableStyleInfo name="TableStyleLight8" showFirstColumn="0" showLastColumn="0" showRowStripes="1" showColumnStripes="0"/>
</table>
</file>

<file path=xl/tables/table125.xml><?xml version="1.0" encoding="utf-8"?>
<table xmlns="http://schemas.openxmlformats.org/spreadsheetml/2006/main" id="130" name="Table128130131" displayName="Table128130131" ref="A180:C187" totalsRowShown="0">
  <autoFilter ref="A180:C187"/>
  <tableColumns count="3">
    <tableColumn id="1" name="S 350 d L Wheels"/>
    <tableColumn id="2" name="Price " dataCellStyle="Currency"/>
    <tableColumn id="3" name="Tyre Specs" dataDxfId="210"/>
  </tableColumns>
  <tableStyleInfo name="TableStyleLight8" showFirstColumn="0" showLastColumn="0" showRowStripes="1" showColumnStripes="0"/>
</table>
</file>

<file path=xl/tables/table126.xml><?xml version="1.0" encoding="utf-8"?>
<table xmlns="http://schemas.openxmlformats.org/spreadsheetml/2006/main" id="131" name="Table128130131132" displayName="Table128130131132" ref="A190:C198" totalsRowShown="0">
  <autoFilter ref="A190:C198"/>
  <tableColumns count="3">
    <tableColumn id="1" name="S 400 L Wheels"/>
    <tableColumn id="2" name="Price " dataCellStyle="Currency"/>
    <tableColumn id="3" name="Tyre Specs" dataDxfId="209"/>
  </tableColumns>
  <tableStyleInfo name="TableStyleLight8" showFirstColumn="0" showLastColumn="0" showRowStripes="1" showColumnStripes="0"/>
</table>
</file>

<file path=xl/tables/table127.xml><?xml version="1.0" encoding="utf-8"?>
<table xmlns="http://schemas.openxmlformats.org/spreadsheetml/2006/main" id="132" name="Table128130131132133" displayName="Table128130131132133" ref="A201:C209" totalsRowShown="0">
  <autoFilter ref="A201:C209"/>
  <tableColumns count="3">
    <tableColumn id="1" name="S 500 Wheels"/>
    <tableColumn id="2" name="Price " dataCellStyle="Currency"/>
    <tableColumn id="3" name="Tyre Specs" dataDxfId="208"/>
  </tableColumns>
  <tableStyleInfo name="TableStyleLight8" showFirstColumn="0" showLastColumn="0" showRowStripes="1" showColumnStripes="0"/>
</table>
</file>

<file path=xl/tables/table128.xml><?xml version="1.0" encoding="utf-8"?>
<table xmlns="http://schemas.openxmlformats.org/spreadsheetml/2006/main" id="133" name="Table128130131132133134" displayName="Table128130131132133134" ref="A212:C220" totalsRowShown="0">
  <autoFilter ref="A212:C220"/>
  <tableColumns count="3">
    <tableColumn id="1" name="S 500 L Wheels"/>
    <tableColumn id="2" name="Price " dataCellStyle="Currency"/>
    <tableColumn id="3" name="Tyre Specs" dataDxfId="207"/>
  </tableColumns>
  <tableStyleInfo name="TableStyleLight8" showFirstColumn="0" showLastColumn="0" showRowStripes="1" showColumnStripes="0"/>
</table>
</file>

<file path=xl/tables/table129.xml><?xml version="1.0" encoding="utf-8"?>
<table xmlns="http://schemas.openxmlformats.org/spreadsheetml/2006/main" id="134" name="Table134" displayName="Table134" ref="A223:C226" totalsRowShown="0">
  <autoFilter ref="A223:C226"/>
  <tableColumns count="3">
    <tableColumn id="1" name="AMG S 63 Wheels"/>
    <tableColumn id="2" name="Price" dataCellStyle="Currency"/>
    <tableColumn id="3" name="Tyre Specs"/>
  </tableColumns>
  <tableStyleInfo name="TableStyleLight8" showFirstColumn="0" showLastColumn="0" showRowStripes="1" showColumnStripes="0"/>
</table>
</file>

<file path=xl/tables/table130.xml><?xml version="1.0" encoding="utf-8"?>
<table xmlns="http://schemas.openxmlformats.org/spreadsheetml/2006/main" id="135" name="Table134136" displayName="Table134136" ref="A229:C232" totalsRowShown="0">
  <autoFilter ref="A229:C232"/>
  <tableColumns count="3">
    <tableColumn id="1" name="AMG S 63 L Wheels"/>
    <tableColumn id="2" name="Price" dataCellStyle="Currency"/>
    <tableColumn id="3" name="Tyre Specs"/>
  </tableColumns>
  <tableStyleInfo name="TableStyleLight8" showFirstColumn="0" showLastColumn="0" showRowStripes="1" showColumnStripes="0"/>
</table>
</file>

<file path=xl/tables/table131.xml><?xml version="1.0" encoding="utf-8"?>
<table xmlns="http://schemas.openxmlformats.org/spreadsheetml/2006/main" id="136" name="Table128130131132133134137" displayName="Table128130131132133134137" ref="A235:C243" totalsRowShown="0">
  <autoFilter ref="A235:C243"/>
  <tableColumns count="3">
    <tableColumn id="1" name="S 600 L Wheels"/>
    <tableColumn id="2" name="Price " dataCellStyle="Currency"/>
    <tableColumn id="3" name="Tyre Specs" dataDxfId="206"/>
  </tableColumns>
  <tableStyleInfo name="TableStyleLight8" showFirstColumn="0" showLastColumn="0" showRowStripes="1" showColumnStripes="0"/>
</table>
</file>

<file path=xl/tables/table132.xml><?xml version="1.0" encoding="utf-8"?>
<table xmlns="http://schemas.openxmlformats.org/spreadsheetml/2006/main" id="137" name="Table134136138" displayName="Table134136138" ref="A246:C250" totalsRowShown="0">
  <autoFilter ref="A246:C250"/>
  <tableColumns count="3">
    <tableColumn id="1" name="AMG S 65 L Wheels"/>
    <tableColumn id="2" name="Price" dataCellStyle="Currency"/>
    <tableColumn id="3" name="Tyre Specs"/>
  </tableColumns>
  <tableStyleInfo name="TableStyleLight8" showFirstColumn="0" showLastColumn="0" showRowStripes="1" showColumnStripes="0"/>
</table>
</file>

<file path=xl/tables/table133.xml><?xml version="1.0" encoding="utf-8"?>
<table xmlns="http://schemas.openxmlformats.org/spreadsheetml/2006/main" id="168" name="Table168" displayName="Table168" ref="A253:C261" totalsRowShown="0">
  <autoFilter ref="A253:C261"/>
  <tableColumns count="3">
    <tableColumn id="1" name="S 500 Wheels" dataDxfId="205"/>
    <tableColumn id="2" name="Price" dataDxfId="204" dataCellStyle="Currency"/>
    <tableColumn id="3" name="Tyre Specs" dataDxfId="203"/>
  </tableColumns>
  <tableStyleInfo name="TableStyleLight8" showFirstColumn="0" showLastColumn="0" showRowStripes="1" showColumnStripes="0"/>
</table>
</file>

<file path=xl/tables/table134.xml><?xml version="1.0" encoding="utf-8"?>
<table xmlns="http://schemas.openxmlformats.org/spreadsheetml/2006/main" id="169" name="Table169" displayName="Table169" ref="A264:C267" totalsRowShown="0" tableBorderDxfId="202">
  <autoFilter ref="A264:C267"/>
  <tableColumns count="3">
    <tableColumn id="1" name="AMG S 63 Wheels" dataDxfId="201"/>
    <tableColumn id="2" name="Price " dataDxfId="200" dataCellStyle="Currency"/>
    <tableColumn id="3" name="Tyre Specs" dataDxfId="199"/>
  </tableColumns>
  <tableStyleInfo name="TableStyleLight8" showFirstColumn="0" showLastColumn="0" showRowStripes="1" showColumnStripes="0"/>
</table>
</file>

<file path=xl/tables/table135.xml><?xml version="1.0" encoding="utf-8"?>
<table xmlns="http://schemas.openxmlformats.org/spreadsheetml/2006/main" id="170" name="Table170" displayName="Table170" ref="A269:C273" totalsRowShown="0" tableBorderDxfId="198">
  <autoFilter ref="A269:C273"/>
  <tableColumns count="3">
    <tableColumn id="1" name="AMG S 65 Wheels" dataDxfId="197"/>
    <tableColumn id="2" name="Price" dataDxfId="196" dataCellStyle="Currency"/>
    <tableColumn id="3" name="Tyre Specs" dataDxfId="195"/>
  </tableColumns>
  <tableStyleInfo name="TableStyleLight8" showFirstColumn="0" showLastColumn="0" showRowStripes="1" showColumnStripes="0"/>
</table>
</file>

<file path=xl/tables/table136.xml><?xml version="1.0" encoding="utf-8"?>
<table xmlns="http://schemas.openxmlformats.org/spreadsheetml/2006/main" id="183" name="Table183" displayName="Table183" ref="A276:C280" totalsRowShown="0">
  <autoFilter ref="A276:C280"/>
  <tableColumns count="3">
    <tableColumn id="1" name="GL 350 BlueTEC 'Limited Edition' Wheels"/>
    <tableColumn id="2" name="Price" dataCellStyle="Currency"/>
    <tableColumn id="3" name="Tyre Specs"/>
  </tableColumns>
  <tableStyleInfo name="TableStyleLight8" showFirstColumn="0" showLastColumn="0" showRowStripes="1" showColumnStripes="0"/>
</table>
</file>

<file path=xl/tables/table137.xml><?xml version="1.0" encoding="utf-8"?>
<table xmlns="http://schemas.openxmlformats.org/spreadsheetml/2006/main" id="184" name="Table184" displayName="Table184" ref="A283:C286" totalsRowShown="0" headerRowDxfId="194" tableBorderDxfId="193">
  <autoFilter ref="A283:C286"/>
  <tableColumns count="3">
    <tableColumn id="1" name="GL 350 BlueTEC 'Edition S' Wheels"/>
    <tableColumn id="2" name="Price" dataCellStyle="Currency"/>
    <tableColumn id="3" name="Tyre Specs" dataDxfId="192"/>
  </tableColumns>
  <tableStyleInfo name="TableStyleLight8" showFirstColumn="0" showLastColumn="0" showRowStripes="1" showColumnStripes="0"/>
</table>
</file>

<file path=xl/tables/table138.xml><?xml version="1.0" encoding="utf-8"?>
<table xmlns="http://schemas.openxmlformats.org/spreadsheetml/2006/main" id="185" name="Table184186" displayName="Table184186" ref="A289:C292" totalsRowShown="0" headerRowDxfId="191" tableBorderDxfId="190">
  <autoFilter ref="A289:C292"/>
  <tableColumns count="3">
    <tableColumn id="1" name="GL 500 'Edition S' Wheels"/>
    <tableColumn id="2" name="Price" dataCellStyle="Currency"/>
    <tableColumn id="3" name="Tyre Specs" dataDxfId="189"/>
  </tableColumns>
  <tableStyleInfo name="TableStyleLight8" showFirstColumn="0" showLastColumn="0" showRowStripes="1" showColumnStripes="0"/>
</table>
</file>

<file path=xl/tables/table139.xml><?xml version="1.0" encoding="utf-8"?>
<table xmlns="http://schemas.openxmlformats.org/spreadsheetml/2006/main" id="186" name="Table186" displayName="Table186" ref="A295:C298" totalsRowShown="0" headerRowDxfId="188" tableBorderDxfId="187">
  <autoFilter ref="A295:C298"/>
  <tableColumns count="3">
    <tableColumn id="1" name="GL 63 AMG Wheels"/>
    <tableColumn id="2" name="Price" dataCellStyle="Currency"/>
    <tableColumn id="3" name="Tyre Specs" dataDxfId="186"/>
  </tableColumns>
  <tableStyleInfo name="TableStyleLight8" showFirstColumn="0" showLastColumn="0" showRowStripes="1" showColumnStripes="0"/>
</table>
</file>

<file path=xl/tables/table140.xml><?xml version="1.0" encoding="utf-8"?>
<table xmlns="http://schemas.openxmlformats.org/spreadsheetml/2006/main" id="201" name="Table201" displayName="Table201" ref="A301:C304" totalsRowShown="0" tableBorderDxfId="185">
  <autoFilter ref="A301:C304"/>
  <tableColumns count="3">
    <tableColumn id="1" name="E 200 and CDI Wheels " dataDxfId="184"/>
    <tableColumn id="2" name="Price" dataDxfId="183" dataCellStyle="Currency"/>
    <tableColumn id="3" name="Tyre Specs" dataDxfId="182"/>
  </tableColumns>
  <tableStyleInfo name="TableStyleLight8" showFirstColumn="0" showLastColumn="0" showRowStripes="1" showColumnStripes="0"/>
</table>
</file>

<file path=xl/tables/table141.xml><?xml version="1.0" encoding="utf-8"?>
<table xmlns="http://schemas.openxmlformats.org/spreadsheetml/2006/main" id="202" name="Table202" displayName="Table202" ref="A307:C311" totalsRowShown="0">
  <autoFilter ref="A307:C311"/>
  <tableColumns count="3">
    <tableColumn id="1" name="E250 and CDI and 300BTH and 400" dataDxfId="181"/>
    <tableColumn id="2" name="Price" dataCellStyle="Currency"/>
    <tableColumn id="3" name="Tyre Specs" dataDxfId="180"/>
  </tableColumns>
  <tableStyleInfo name="TableStyleLight8" showFirstColumn="0" showLastColumn="0" showRowStripes="1" showColumnStripes="0"/>
</table>
</file>

<file path=xl/tables/table142.xml><?xml version="1.0" encoding="utf-8"?>
<table xmlns="http://schemas.openxmlformats.org/spreadsheetml/2006/main" id="203" name="Table203" displayName="Table203" ref="A314:C317" totalsRowShown="0">
  <autoFilter ref="A314:C317"/>
  <tableColumns count="3">
    <tableColumn id="1" name="E 63 AMG S Wheels"/>
    <tableColumn id="2" name="Price" dataCellStyle="Currency"/>
    <tableColumn id="3" name="Tyre Specs" dataDxfId="179"/>
  </tableColumns>
  <tableStyleInfo name="TableStyleLight8" showFirstColumn="0" showLastColumn="0" showRowStripes="1" showColumnStripes="0"/>
</table>
</file>

<file path=xl/tables/table143.xml><?xml version="1.0" encoding="utf-8"?>
<table xmlns="http://schemas.openxmlformats.org/spreadsheetml/2006/main" id="215" name="Table215" displayName="Table215" ref="A320:C322" totalsRowShown="0">
  <autoFilter ref="A320:C322"/>
  <tableColumns count="3">
    <tableColumn id="1" name="CLS 250 Wheels"/>
    <tableColumn id="2" name="Price" dataCellStyle="Currency"/>
    <tableColumn id="3" name="Tyre Specs" dataDxfId="178"/>
  </tableColumns>
  <tableStyleInfo name="TableStyleLight8" showFirstColumn="0" showLastColumn="0" showRowStripes="1" showColumnStripes="0"/>
</table>
</file>

<file path=xl/tables/table144.xml><?xml version="1.0" encoding="utf-8"?>
<table xmlns="http://schemas.openxmlformats.org/spreadsheetml/2006/main" id="216" name="Table216" displayName="Table216" ref="A325:C327" totalsRowShown="0" tableBorderDxfId="177">
  <autoFilter ref="A325:C327"/>
  <tableColumns count="3">
    <tableColumn id="1" name="CLS 400 and 500 Wheels" dataDxfId="176"/>
    <tableColumn id="2" name="Price" dataCellStyle="Currency"/>
    <tableColumn id="3" name="Tyre Specs" dataDxfId="175"/>
  </tableColumns>
  <tableStyleInfo name="TableStyleLight8" showFirstColumn="0" showLastColumn="0" showRowStripes="1" showColumnStripes="0"/>
</table>
</file>

<file path=xl/tables/table145.xml><?xml version="1.0" encoding="utf-8"?>
<table xmlns="http://schemas.openxmlformats.org/spreadsheetml/2006/main" id="217" name="Table217" displayName="Table217" ref="A330:C333" totalsRowShown="0">
  <autoFilter ref="A330:C333"/>
  <tableColumns count="3">
    <tableColumn id="1" name="CLS 63 AMG S Wheels"/>
    <tableColumn id="2" name="Price " dataCellStyle="Currency"/>
    <tableColumn id="3" name="Tyre Specs" dataDxfId="174"/>
  </tableColumns>
  <tableStyleInfo name="TableStyleLight8" showFirstColumn="0" showLastColumn="0" showRowStripes="1" showColumnStripes="0"/>
</table>
</file>

<file path=xl/tables/table146.xml><?xml version="1.0" encoding="utf-8"?>
<table xmlns="http://schemas.openxmlformats.org/spreadsheetml/2006/main" id="226" name="Table226" displayName="Table226" ref="A336:C337" totalsRowShown="0" tableBorderDxfId="173">
  <autoFilter ref="A336:C337"/>
  <tableColumns count="3">
    <tableColumn id="1" name="CLS Shooting brake Wheels" dataDxfId="172"/>
    <tableColumn id="2" name="Price" dataDxfId="171" dataCellStyle="Currency"/>
    <tableColumn id="3" name="Tyre Specs" dataDxfId="170"/>
  </tableColumns>
  <tableStyleInfo name="TableStyleLight8" showFirstColumn="0" showLastColumn="0" showRowStripes="1" showColumnStripes="0"/>
</table>
</file>

<file path=xl/tables/table147.xml><?xml version="1.0" encoding="utf-8"?>
<table xmlns="http://schemas.openxmlformats.org/spreadsheetml/2006/main" id="232" name="Table232" displayName="Table232" ref="A340:C343" totalsRowShown="0">
  <autoFilter ref="A340:C343"/>
  <tableColumns count="3">
    <tableColumn id="1" name="C 200 Wheels"/>
    <tableColumn id="2" name="Price" dataCellStyle="Currency"/>
    <tableColumn id="3" name="Tyre Specs" dataDxfId="169"/>
  </tableColumns>
  <tableStyleInfo name="TableStyleLight8" showFirstColumn="0" showLastColumn="0" showRowStripes="1" showColumnStripes="0"/>
</table>
</file>

<file path=xl/tables/table148.xml><?xml version="1.0" encoding="utf-8"?>
<table xmlns="http://schemas.openxmlformats.org/spreadsheetml/2006/main" id="233" name="Table233" displayName="Table233" ref="A346:C350" totalsRowShown="0">
  <autoFilter ref="A346:C350"/>
  <tableColumns count="3">
    <tableColumn id="1" name="C250 and 300 Wheels" dataDxfId="168"/>
    <tableColumn id="2" name="Price"/>
    <tableColumn id="3" name="Tyre Specs" dataDxfId="167"/>
  </tableColumns>
  <tableStyleInfo name="TableStyleLight8" showFirstColumn="0" showLastColumn="0" showRowStripes="1" showColumnStripes="0"/>
</table>
</file>

<file path=xl/tables/table149.xml><?xml version="1.0" encoding="utf-8"?>
<table xmlns="http://schemas.openxmlformats.org/spreadsheetml/2006/main" id="234" name="Table234" displayName="Table234" ref="A353:C357" totalsRowShown="0">
  <autoFilter ref="A353:C357"/>
  <tableColumns count="3">
    <tableColumn id="1" name="AMG C 63 S Wheels"/>
    <tableColumn id="2" name="Price" dataDxfId="166" dataCellStyle="Currency"/>
    <tableColumn id="3" name="Tyre Specs"/>
  </tableColumns>
  <tableStyleInfo name="TableStyleLight8" showFirstColumn="0" showLastColumn="0" showRowStripes="1" showColumnStripes="0"/>
</table>
</file>

<file path=xl/tables/table150.xml><?xml version="1.0" encoding="utf-8"?>
<table xmlns="http://schemas.openxmlformats.org/spreadsheetml/2006/main" id="240" name="Table240" displayName="Table240" ref="A360:C364" totalsRowShown="0">
  <autoFilter ref="A360:C364"/>
  <tableColumns count="3">
    <tableColumn id="1" name="B 180 Wheels"/>
    <tableColumn id="2" name="Price" dataDxfId="165" dataCellStyle="Currency"/>
    <tableColumn id="3" name="Tyre Specs"/>
  </tableColumns>
  <tableStyleInfo name="TableStyleLight8" showFirstColumn="0" showLastColumn="0" showRowStripes="1" showColumnStripes="0"/>
</table>
</file>

<file path=xl/tables/table151.xml><?xml version="1.0" encoding="utf-8"?>
<table xmlns="http://schemas.openxmlformats.org/spreadsheetml/2006/main" id="241" name="Table241" displayName="Table241" ref="A367:C372" totalsRowShown="0" tableBorderDxfId="164">
  <autoFilter ref="A367:C372"/>
  <tableColumns count="3">
    <tableColumn id="1" name="B 200 Wheels" dataDxfId="163"/>
    <tableColumn id="2" name="Price" dataDxfId="162" dataCellStyle="Currency"/>
    <tableColumn id="3" name="Tyre Specs" dataDxfId="161"/>
  </tableColumns>
  <tableStyleInfo name="TableStyleLight8" showFirstColumn="0" showLastColumn="0" showRowStripes="1" showColumnStripes="0"/>
</table>
</file>

<file path=xl/tables/table152.xml><?xml version="1.0" encoding="utf-8"?>
<table xmlns="http://schemas.openxmlformats.org/spreadsheetml/2006/main" id="242" name="Table242" displayName="Table242" ref="A375:C377" totalsRowShown="0" tableBorderDxfId="160">
  <autoFilter ref="A375:C377"/>
  <tableColumns count="3">
    <tableColumn id="1" name="B 250 4MATIC Wheels" dataDxfId="159"/>
    <tableColumn id="2" name="Price " dataDxfId="158" dataCellStyle="Currency"/>
    <tableColumn id="3" name="Tyre Specs" dataDxfId="157"/>
  </tableColumns>
  <tableStyleInfo name="TableStyleLight8" showFirstColumn="0" showLastColumn="0" showRowStripes="1" showColumnStripes="0"/>
</table>
</file>

<file path=xl/tables/table153.xml><?xml version="1.0" encoding="utf-8"?>
<table xmlns="http://schemas.openxmlformats.org/spreadsheetml/2006/main" id="5" name="Table5" displayName="Table5" ref="A1:B10" totalsRowShown="0">
  <autoFilter ref="A1:B10"/>
  <tableColumns count="2">
    <tableColumn id="1" name="SLK 200 Interior Trim"/>
    <tableColumn id="2" name="Price" dataDxfId="156" dataCellStyle="Currency"/>
  </tableColumns>
  <tableStyleInfo name="TableStyleLight8" showFirstColumn="0" showLastColumn="0" showRowStripes="1" showColumnStripes="0"/>
</table>
</file>

<file path=xl/tables/table154.xml><?xml version="1.0" encoding="utf-8"?>
<table xmlns="http://schemas.openxmlformats.org/spreadsheetml/2006/main" id="9" name="Table510" displayName="Table510" ref="D1:E10" totalsRowShown="0">
  <autoFilter ref="D1:E10"/>
  <tableColumns count="2">
    <tableColumn id="1" name="SLK 250 Interior Trim"/>
    <tableColumn id="2" name="Price" dataDxfId="155" dataCellStyle="Currency"/>
  </tableColumns>
  <tableStyleInfo name="TableStyleLight8" showFirstColumn="0" showLastColumn="0" showRowStripes="1" showColumnStripes="0"/>
</table>
</file>

<file path=xl/tables/table155.xml><?xml version="1.0" encoding="utf-8"?>
<table xmlns="http://schemas.openxmlformats.org/spreadsheetml/2006/main" id="14" name="Table51015" displayName="Table51015" ref="G1:H10" totalsRowShown="0">
  <autoFilter ref="G1:H10"/>
  <tableColumns count="2">
    <tableColumn id="1" name="SLK 350 Interior Trim"/>
    <tableColumn id="2" name="Price" dataDxfId="154" dataCellStyle="Currency"/>
  </tableColumns>
  <tableStyleInfo name="TableStyleLight8" showFirstColumn="0" showLastColumn="0" showRowStripes="1" showColumnStripes="0"/>
</table>
</file>

<file path=xl/tables/table156.xml><?xml version="1.0" encoding="utf-8"?>
<table xmlns="http://schemas.openxmlformats.org/spreadsheetml/2006/main" id="19" name="Table5101520" displayName="Table5101520" ref="J1:K9" totalsRowShown="0">
  <autoFilter ref="J1:K9"/>
  <tableColumns count="2">
    <tableColumn id="1" name="SLK 55 AMG Interior Trim"/>
    <tableColumn id="2" name="Price" dataDxfId="153" dataCellStyle="Currency"/>
  </tableColumns>
  <tableStyleInfo name="TableStyleLight8" showFirstColumn="0" showLastColumn="0" showRowStripes="1" showColumnStripes="0"/>
</table>
</file>

<file path=xl/tables/table157.xml><?xml version="1.0" encoding="utf-8"?>
<table xmlns="http://schemas.openxmlformats.org/spreadsheetml/2006/main" id="24" name="Table24" displayName="Table24" ref="A13:B16" totalsRowShown="0">
  <autoFilter ref="A13:B16"/>
  <tableColumns count="2">
    <tableColumn id="1" name="GLA 200 CDI Trim"/>
    <tableColumn id="2" name="Price" dataCellStyle="Currency"/>
  </tableColumns>
  <tableStyleInfo name="TableStyleLight8" showFirstColumn="0" showLastColumn="0" showRowStripes="1" showColumnStripes="0"/>
</table>
</file>

<file path=xl/tables/table158.xml><?xml version="1.0" encoding="utf-8"?>
<table xmlns="http://schemas.openxmlformats.org/spreadsheetml/2006/main" id="29" name="Table2430" displayName="Table2430" ref="D13:E16" totalsRowShown="0">
  <autoFilter ref="D13:E16"/>
  <tableColumns count="2">
    <tableColumn id="1" name="GLA 250 4MATIC Trim"/>
    <tableColumn id="2" name="Price" dataCellStyle="Currency"/>
  </tableColumns>
  <tableStyleInfo name="TableStyleLight8" showFirstColumn="0" showLastColumn="0" showRowStripes="1" showColumnStripes="0"/>
</table>
</file>

<file path=xl/tables/table159.xml><?xml version="1.0" encoding="utf-8"?>
<table xmlns="http://schemas.openxmlformats.org/spreadsheetml/2006/main" id="34" name="Table34" displayName="Table34" ref="G13:H16" totalsRowShown="0">
  <autoFilter ref="G13:H16"/>
  <tableColumns count="2">
    <tableColumn id="1" name="GLA 45 AMG 4MATIC Trim"/>
    <tableColumn id="2" name="Price" dataCellStyle="Currency"/>
  </tableColumns>
  <tableStyleInfo name="TableStyleLight8" showFirstColumn="0" showLastColumn="0" showRowStripes="1" showColumnStripes="0"/>
</table>
</file>

<file path=xl/tables/table160.xml><?xml version="1.0" encoding="utf-8"?>
<table xmlns="http://schemas.openxmlformats.org/spreadsheetml/2006/main" id="39" name="Table39" displayName="Table39" ref="A19:B24" totalsRowShown="0">
  <autoFilter ref="A19:B24"/>
  <tableColumns count="2">
    <tableColumn id="1" name="G 350 BlueTEC Trim"/>
    <tableColumn id="2" name="Price" dataCellStyle="Currency"/>
  </tableColumns>
  <tableStyleInfo name="TableStyleLight8" showFirstColumn="0" showLastColumn="0" showRowStripes="1" showColumnStripes="0"/>
</table>
</file>

<file path=xl/tables/table161.xml><?xml version="1.0" encoding="utf-8"?>
<table xmlns="http://schemas.openxmlformats.org/spreadsheetml/2006/main" id="43" name="Table3944" displayName="Table3944" ref="D19:E24" totalsRowShown="0">
  <autoFilter ref="D19:E24"/>
  <tableColumns count="2">
    <tableColumn id="1" name="G 500 Trim"/>
    <tableColumn id="2" name="Price" dataCellStyle="Currency"/>
  </tableColumns>
  <tableStyleInfo name="TableStyleLight8" showFirstColumn="0" showLastColumn="0" showRowStripes="1" showColumnStripes="0"/>
</table>
</file>

<file path=xl/tables/table162.xml><?xml version="1.0" encoding="utf-8"?>
<table xmlns="http://schemas.openxmlformats.org/spreadsheetml/2006/main" id="48" name="Table48" displayName="Table48" ref="G19:H23" totalsRowShown="0" tableBorderDxfId="152">
  <autoFilter ref="G19:H23"/>
  <tableColumns count="2">
    <tableColumn id="1" name="G 63 AMG Trim" dataDxfId="151"/>
    <tableColumn id="2" name="Price" dataDxfId="150" dataCellStyle="Currency"/>
  </tableColumns>
  <tableStyleInfo name="TableStyleLight8" showFirstColumn="0" showLastColumn="0" showRowStripes="1" showColumnStripes="0"/>
</table>
</file>

<file path=xl/tables/table163.xml><?xml version="1.0" encoding="utf-8"?>
<table xmlns="http://schemas.openxmlformats.org/spreadsheetml/2006/main" id="53" name="Table53" displayName="Table53" ref="A27:B31" totalsRowShown="0">
  <autoFilter ref="A27:B31"/>
  <tableColumns count="2">
    <tableColumn id="1" name="CLA200 Trim" dataDxfId="149"/>
    <tableColumn id="2" name="Price" dataCellStyle="Currency"/>
  </tableColumns>
  <tableStyleInfo name="TableStyleLight8" showFirstColumn="0" showLastColumn="0" showRowStripes="1" showColumnStripes="0"/>
</table>
</file>

<file path=xl/tables/table164.xml><?xml version="1.0" encoding="utf-8"?>
<table xmlns="http://schemas.openxmlformats.org/spreadsheetml/2006/main" id="58" name="Table5359" displayName="Table5359" ref="D27:E31" totalsRowShown="0">
  <autoFilter ref="D27:E31"/>
  <tableColumns count="2">
    <tableColumn id="1" name="CLA200 CDI Trim" dataDxfId="148"/>
    <tableColumn id="2" name="Price" dataCellStyle="Currency"/>
  </tableColumns>
  <tableStyleInfo name="TableStyleLight8" showFirstColumn="0" showLastColumn="0" showRowStripes="1" showColumnStripes="0"/>
</table>
</file>

<file path=xl/tables/table165.xml><?xml version="1.0" encoding="utf-8"?>
<table xmlns="http://schemas.openxmlformats.org/spreadsheetml/2006/main" id="63" name="Table63" displayName="Table63" ref="G27:H28" totalsRowShown="0">
  <autoFilter ref="G27:H28"/>
  <tableColumns count="2">
    <tableColumn id="1" name="CLA 250 Sport Trim" dataDxfId="147"/>
    <tableColumn id="2" name="Price" dataCellStyle="Currency"/>
  </tableColumns>
  <tableStyleInfo name="TableStyleLight8" showFirstColumn="0" showLastColumn="0" showRowStripes="1" showColumnStripes="0"/>
</table>
</file>

<file path=xl/tables/table166.xml><?xml version="1.0" encoding="utf-8"?>
<table xmlns="http://schemas.openxmlformats.org/spreadsheetml/2006/main" id="68" name="Table6369" displayName="Table6369" ref="J27:K28" totalsRowShown="0">
  <autoFilter ref="J27:K28"/>
  <tableColumns count="2">
    <tableColumn id="1" name="CLA 45 AMG Trim" dataDxfId="146"/>
    <tableColumn id="2" name="Price" dataCellStyle="Currency"/>
  </tableColumns>
  <tableStyleInfo name="TableStyleLight8" showFirstColumn="0" showLastColumn="0" showRowStripes="1" showColumnStripes="0"/>
</table>
</file>

<file path=xl/tables/table167.xml><?xml version="1.0" encoding="utf-8"?>
<table xmlns="http://schemas.openxmlformats.org/spreadsheetml/2006/main" id="85" name="Table85" displayName="Table85" ref="A34:B36" totalsRowShown="0">
  <autoFilter ref="A34:B36"/>
  <tableColumns count="2">
    <tableColumn id="1" name="A 180 Trim"/>
    <tableColumn id="2" name="Price" dataCellStyle="Currency"/>
  </tableColumns>
  <tableStyleInfo name="TableStyleLight8" showFirstColumn="0" showLastColumn="0" showRowStripes="1" showColumnStripes="0"/>
</table>
</file>

<file path=xl/tables/table168.xml><?xml version="1.0" encoding="utf-8"?>
<table xmlns="http://schemas.openxmlformats.org/spreadsheetml/2006/main" id="86" name="Table86" displayName="Table86" ref="D34:E40" totalsRowShown="0">
  <autoFilter ref="D34:E40"/>
  <tableColumns count="2">
    <tableColumn id="1" name="A 200 Trim"/>
    <tableColumn id="2" name="Price" dataCellStyle="Currency"/>
  </tableColumns>
  <tableStyleInfo name="TableStyleLight8" showFirstColumn="0" showLastColumn="0" showRowStripes="1" showColumnStripes="0"/>
</table>
</file>

<file path=xl/tables/table169.xml><?xml version="1.0" encoding="utf-8"?>
<table xmlns="http://schemas.openxmlformats.org/spreadsheetml/2006/main" id="87" name="Table8688" displayName="Table8688" ref="G34:H40" totalsRowShown="0">
  <autoFilter ref="G34:H40"/>
  <tableColumns count="2">
    <tableColumn id="1" name="A 200 CDI Trim"/>
    <tableColumn id="2" name="Price" dataCellStyle="Currency"/>
  </tableColumns>
  <tableStyleInfo name="TableStyleLight8" showFirstColumn="0" showLastColumn="0" showRowStripes="1" showColumnStripes="0"/>
</table>
</file>

<file path=xl/tables/table170.xml><?xml version="1.0" encoding="utf-8"?>
<table xmlns="http://schemas.openxmlformats.org/spreadsheetml/2006/main" id="88" name="Table88" displayName="Table88" ref="J34:K35" totalsRowShown="0">
  <autoFilter ref="J34:K35"/>
  <tableColumns count="2">
    <tableColumn id="1" name="A 250 Sport Trim"/>
    <tableColumn id="2" name="Price" dataCellStyle="Currency"/>
  </tableColumns>
  <tableStyleInfo name="TableStyleLight8" showFirstColumn="0" showLastColumn="0" showRowStripes="1" showColumnStripes="0"/>
</table>
</file>

<file path=xl/tables/table171.xml><?xml version="1.0" encoding="utf-8"?>
<table xmlns="http://schemas.openxmlformats.org/spreadsheetml/2006/main" id="89" name="Table8890" displayName="Table8890" ref="M34:N35" totalsRowShown="0">
  <autoFilter ref="M34:N35"/>
  <tableColumns count="2">
    <tableColumn id="1" name="A 45 AMG Trim"/>
    <tableColumn id="2" name="Price" dataCellStyle="Currency"/>
  </tableColumns>
  <tableStyleInfo name="TableStyleLight8" showFirstColumn="0" showLastColumn="0" showRowStripes="1" showColumnStripes="0"/>
</table>
</file>

<file path=xl/tables/table172.xml><?xml version="1.0" encoding="utf-8"?>
<table xmlns="http://schemas.openxmlformats.org/spreadsheetml/2006/main" id="98" name="Table98" displayName="Table98" ref="A43:B46" totalsRowShown="0">
  <autoFilter ref="A43:B46"/>
  <tableColumns count="2">
    <tableColumn id="1" name="V 250 BlueTEC AVANTGARDE Trim"/>
    <tableColumn id="2" name="Price" dataDxfId="145" dataCellStyle="Currency"/>
  </tableColumns>
  <tableStyleInfo name="TableStyleLight8" showFirstColumn="0" showLastColumn="0" showRowStripes="1" showColumnStripes="0"/>
</table>
</file>

<file path=xl/tables/table173.xml><?xml version="1.0" encoding="utf-8"?>
<table xmlns="http://schemas.openxmlformats.org/spreadsheetml/2006/main" id="109" name="Table109" displayName="Table109" ref="A49:B58" totalsRowShown="0">
  <autoFilter ref="A49:B58"/>
  <tableColumns count="2">
    <tableColumn id="1" name="SL 400 Trim"/>
    <tableColumn id="2" name="Price" dataDxfId="144" dataCellStyle="Currency"/>
  </tableColumns>
  <tableStyleInfo name="TableStyleLight8" showFirstColumn="0" showLastColumn="0" showRowStripes="1" showColumnStripes="0"/>
</table>
</file>

<file path=xl/tables/table174.xml><?xml version="1.0" encoding="utf-8"?>
<table xmlns="http://schemas.openxmlformats.org/spreadsheetml/2006/main" id="110" name="Table110" displayName="Table110" ref="D49:E58" totalsRowShown="0">
  <autoFilter ref="D49:E58"/>
  <tableColumns count="2">
    <tableColumn id="1" name="SL 500 Trim" dataDxfId="143"/>
    <tableColumn id="2" name="Price" dataDxfId="142" dataCellStyle="Currency"/>
  </tableColumns>
  <tableStyleInfo name="TableStyleLight8" showFirstColumn="0" showLastColumn="0" showRowStripes="1" showColumnStripes="0"/>
</table>
</file>

<file path=xl/tables/table175.xml><?xml version="1.0" encoding="utf-8"?>
<table xmlns="http://schemas.openxmlformats.org/spreadsheetml/2006/main" id="111" name="Table110112" displayName="Table110112" ref="G49:H58" totalsRowShown="0">
  <autoFilter ref="G49:H58"/>
  <tableColumns count="2">
    <tableColumn id="1" name="AMG SL 63 Trim" dataDxfId="141"/>
    <tableColumn id="2" name="Price" dataDxfId="140" dataCellStyle="Currency"/>
  </tableColumns>
  <tableStyleInfo name="TableStyleLight8" showFirstColumn="0" showLastColumn="0" showRowStripes="1" showColumnStripes="0"/>
</table>
</file>

<file path=xl/tables/table176.xml><?xml version="1.0" encoding="utf-8"?>
<table xmlns="http://schemas.openxmlformats.org/spreadsheetml/2006/main" id="112" name="Table110112113" displayName="Table110112113" ref="J49:K58" totalsRowShown="0">
  <autoFilter ref="J49:K58"/>
  <tableColumns count="2">
    <tableColumn id="1" name="AMG SL 65 Trim" dataDxfId="139"/>
    <tableColumn id="2" name="Price" dataDxfId="138" dataCellStyle="Currency"/>
  </tableColumns>
  <tableStyleInfo name="TableStyleLight8" showFirstColumn="0" showLastColumn="0" showRowStripes="1" showColumnStripes="0"/>
</table>
</file>

<file path=xl/tables/table177.xml><?xml version="1.0" encoding="utf-8"?>
<table xmlns="http://schemas.openxmlformats.org/spreadsheetml/2006/main" id="138" name="Table138" displayName="Table138" ref="A61:B68" totalsRowShown="0">
  <autoFilter ref="A61:B68"/>
  <tableColumns count="2">
    <tableColumn id="1" name="S 300 h Trim" dataDxfId="137"/>
    <tableColumn id="2" name="Price" dataDxfId="136" dataCellStyle="Currency"/>
  </tableColumns>
  <tableStyleInfo name="TableStyleLight8" showFirstColumn="0" showLastColumn="0" showRowStripes="1" showColumnStripes="0"/>
</table>
</file>

<file path=xl/tables/table178.xml><?xml version="1.0" encoding="utf-8"?>
<table xmlns="http://schemas.openxmlformats.org/spreadsheetml/2006/main" id="139" name="Table138140" displayName="Table138140" ref="D61:E68" totalsRowShown="0">
  <autoFilter ref="D61:E68"/>
  <tableColumns count="2">
    <tableColumn id="1" name="S 350 d Trim" dataDxfId="135"/>
    <tableColumn id="2" name="Price" dataDxfId="134" dataCellStyle="Currency"/>
  </tableColumns>
  <tableStyleInfo name="TableStyleLight8" showFirstColumn="0" showLastColumn="0" showRowStripes="1" showColumnStripes="0"/>
</table>
</file>

<file path=xl/tables/table179.xml><?xml version="1.0" encoding="utf-8"?>
<table xmlns="http://schemas.openxmlformats.org/spreadsheetml/2006/main" id="140" name="Table138140141" displayName="Table138140141" ref="G61:H68" totalsRowShown="0">
  <autoFilter ref="G61:H68"/>
  <tableColumns count="2">
    <tableColumn id="1" name="S 350 d L Trim" dataDxfId="133"/>
    <tableColumn id="2" name="Price" dataDxfId="132" dataCellStyle="Currency"/>
  </tableColumns>
  <tableStyleInfo name="TableStyleLight8" showFirstColumn="0" showLastColumn="0" showRowStripes="1" showColumnStripes="0"/>
</table>
</file>

<file path=xl/tables/table180.xml><?xml version="1.0" encoding="utf-8"?>
<table xmlns="http://schemas.openxmlformats.org/spreadsheetml/2006/main" id="141" name="Table138140141142" displayName="Table138140141142" ref="J61:K68" totalsRowShown="0">
  <autoFilter ref="J61:K68"/>
  <tableColumns count="2">
    <tableColumn id="1" name="S 400 L Trim" dataDxfId="131"/>
    <tableColumn id="2" name="Price" dataDxfId="130" dataCellStyle="Currency"/>
  </tableColumns>
  <tableStyleInfo name="TableStyleLight8" showFirstColumn="0" showLastColumn="0" showRowStripes="1" showColumnStripes="0"/>
</table>
</file>

<file path=xl/tables/table181.xml><?xml version="1.0" encoding="utf-8"?>
<table xmlns="http://schemas.openxmlformats.org/spreadsheetml/2006/main" id="142" name="Table138140141142143" displayName="Table138140141142143" ref="M61:N67" totalsRowShown="0">
  <autoFilter ref="M61:N67"/>
  <tableColumns count="2">
    <tableColumn id="1" name="S 500 Trim" dataDxfId="129"/>
    <tableColumn id="2" name="Price" dataDxfId="128" dataCellStyle="Currency"/>
  </tableColumns>
  <tableStyleInfo name="TableStyleLight8" showFirstColumn="0" showLastColumn="0" showRowStripes="1" showColumnStripes="0"/>
</table>
</file>

<file path=xl/tables/table182.xml><?xml version="1.0" encoding="utf-8"?>
<table xmlns="http://schemas.openxmlformats.org/spreadsheetml/2006/main" id="143" name="Table138140141142143144" displayName="Table138140141142143144" ref="P61:Q67" totalsRowShown="0">
  <autoFilter ref="P61:Q67"/>
  <tableColumns count="2">
    <tableColumn id="1" name="S 500 L Trim" dataDxfId="127"/>
    <tableColumn id="2" name="Price" dataDxfId="126" dataCellStyle="Currency"/>
  </tableColumns>
  <tableStyleInfo name="TableStyleLight8" showFirstColumn="0" showLastColumn="0" showRowStripes="1" showColumnStripes="0"/>
</table>
</file>

<file path=xl/tables/table183.xml><?xml version="1.0" encoding="utf-8"?>
<table xmlns="http://schemas.openxmlformats.org/spreadsheetml/2006/main" id="144" name="Table138140141142143144145" displayName="Table138140141142143144145" ref="S61:T67" totalsRowShown="0">
  <autoFilter ref="S61:T67"/>
  <tableColumns count="2">
    <tableColumn id="1" name="AMG S 63 Trim" dataDxfId="125"/>
    <tableColumn id="2" name="Price" dataDxfId="124" dataCellStyle="Currency"/>
  </tableColumns>
  <tableStyleInfo name="TableStyleLight8" showFirstColumn="0" showLastColumn="0" showRowStripes="1" showColumnStripes="0"/>
</table>
</file>

<file path=xl/tables/table184.xml><?xml version="1.0" encoding="utf-8"?>
<table xmlns="http://schemas.openxmlformats.org/spreadsheetml/2006/main" id="145" name="Table138140141142143144145146" displayName="Table138140141142143144145146" ref="V61:W67" totalsRowShown="0">
  <autoFilter ref="V61:W67"/>
  <tableColumns count="2">
    <tableColumn id="1" name="AMG S 63 L Trim" dataDxfId="123"/>
    <tableColumn id="2" name="Price" dataDxfId="122" dataCellStyle="Currency"/>
  </tableColumns>
  <tableStyleInfo name="TableStyleLight8" showFirstColumn="0" showLastColumn="0" showRowStripes="1" showColumnStripes="0"/>
</table>
</file>

<file path=xl/tables/table185.xml><?xml version="1.0" encoding="utf-8"?>
<table xmlns="http://schemas.openxmlformats.org/spreadsheetml/2006/main" id="146" name="Table138140141142143144147" displayName="Table138140141142143144147" ref="Y61:Z67" totalsRowShown="0">
  <autoFilter ref="Y61:Z67"/>
  <tableColumns count="2">
    <tableColumn id="1" name="S 600 L Trim" dataDxfId="121"/>
    <tableColumn id="2" name="Price" dataDxfId="120" dataCellStyle="Currency"/>
  </tableColumns>
  <tableStyleInfo name="TableStyleLight8" showFirstColumn="0" showLastColumn="0" showRowStripes="1" showColumnStripes="0"/>
</table>
</file>

<file path=xl/tables/table186.xml><?xml version="1.0" encoding="utf-8"?>
<table xmlns="http://schemas.openxmlformats.org/spreadsheetml/2006/main" id="147" name="Table138140141142143144147148" displayName="Table138140141142143144147148" ref="AB61:AC68" totalsRowShown="0">
  <autoFilter ref="AB61:AC68"/>
  <tableColumns count="2">
    <tableColumn id="1" name="AMG S 65 L Trim" dataDxfId="119"/>
    <tableColumn id="2" name="Price" dataDxfId="118" dataCellStyle="Currency"/>
  </tableColumns>
  <tableStyleInfo name="TableStyleLight8" showFirstColumn="0" showLastColumn="0" showRowStripes="1" showColumnStripes="0"/>
</table>
</file>

<file path=xl/tables/table187.xml><?xml version="1.0" encoding="utf-8"?>
<table xmlns="http://schemas.openxmlformats.org/spreadsheetml/2006/main" id="172" name="Table172" displayName="Table172" ref="A71:B76" totalsRowShown="0" tableBorderDxfId="117">
  <autoFilter ref="A71:B76"/>
  <tableColumns count="2">
    <tableColumn id="1" name="S 500 Trim" dataDxfId="116"/>
    <tableColumn id="2" name="Price" dataDxfId="115" dataCellStyle="Currency"/>
  </tableColumns>
  <tableStyleInfo name="TableStyleLight8" showFirstColumn="0" showLastColumn="0" showRowStripes="1" showColumnStripes="0"/>
</table>
</file>

<file path=xl/tables/table188.xml><?xml version="1.0" encoding="utf-8"?>
<table xmlns="http://schemas.openxmlformats.org/spreadsheetml/2006/main" id="173" name="Table172174" displayName="Table172174" ref="D71:E76" totalsRowShown="0" tableBorderDxfId="114">
  <autoFilter ref="D71:E76"/>
  <tableColumns count="2">
    <tableColumn id="1" name="AMG S 63 Trim" dataDxfId="113"/>
    <tableColumn id="2" name="Price" dataDxfId="112" dataCellStyle="Currency"/>
  </tableColumns>
  <tableStyleInfo name="TableStyleLight8" showFirstColumn="0" showLastColumn="0" showRowStripes="1" showColumnStripes="0"/>
</table>
</file>

<file path=xl/tables/table189.xml><?xml version="1.0" encoding="utf-8"?>
<table xmlns="http://schemas.openxmlformats.org/spreadsheetml/2006/main" id="174" name="Table172175" displayName="Table172175" ref="G71:H76" totalsRowShown="0" tableBorderDxfId="111">
  <autoFilter ref="G71:H76"/>
  <tableColumns count="2">
    <tableColumn id="1" name="AMG S 65 Trim" dataDxfId="110"/>
    <tableColumn id="2" name="Price" dataDxfId="109" dataCellStyle="Currency"/>
  </tableColumns>
  <tableStyleInfo name="TableStyleLight8" showFirstColumn="0" showLastColumn="0" showRowStripes="1" showColumnStripes="0"/>
</table>
</file>

<file path=xl/tables/table190.xml><?xml version="1.0" encoding="utf-8"?>
<table xmlns="http://schemas.openxmlformats.org/spreadsheetml/2006/main" id="188" name="Table188" displayName="Table188" ref="A79:B85" totalsRowShown="0">
  <autoFilter ref="A79:B85"/>
  <tableColumns count="2">
    <tableColumn id="1" name="GL 350 BlueTEC 'Limited Edition' Trim" dataDxfId="108"/>
    <tableColumn id="2" name="Price" dataCellStyle="Currency"/>
  </tableColumns>
  <tableStyleInfo name="TableStyleLight8" showFirstColumn="0" showLastColumn="0" showRowStripes="1" showColumnStripes="0"/>
</table>
</file>

<file path=xl/tables/table191.xml><?xml version="1.0" encoding="utf-8"?>
<table xmlns="http://schemas.openxmlformats.org/spreadsheetml/2006/main" id="189" name="Table188190" displayName="Table188190" ref="D79:E84" totalsRowShown="0">
  <autoFilter ref="D79:E84"/>
  <tableColumns count="2">
    <tableColumn id="1" name="GL 350 BlueTEC 'Edition S' Trim" dataDxfId="107"/>
    <tableColumn id="2" name="Price" dataCellStyle="Currency"/>
  </tableColumns>
  <tableStyleInfo name="TableStyleLight8" showFirstColumn="0" showLastColumn="0" showRowStripes="1" showColumnStripes="0"/>
</table>
</file>

<file path=xl/tables/table192.xml><?xml version="1.0" encoding="utf-8"?>
<table xmlns="http://schemas.openxmlformats.org/spreadsheetml/2006/main" id="190" name="Table188190191" displayName="Table188190191" ref="G79:H83" totalsRowShown="0">
  <autoFilter ref="G79:H83"/>
  <tableColumns count="2">
    <tableColumn id="1" name="GL 500 'Edition S' Trim" dataDxfId="106"/>
    <tableColumn id="2" name="Price" dataCellStyle="Currency"/>
  </tableColumns>
  <tableStyleInfo name="TableStyleLight8" showFirstColumn="0" showLastColumn="0" showRowStripes="1" showColumnStripes="0"/>
</table>
</file>

<file path=xl/tables/table193.xml><?xml version="1.0" encoding="utf-8"?>
<table xmlns="http://schemas.openxmlformats.org/spreadsheetml/2006/main" id="191" name="Table188192" displayName="Table188192" ref="J79:K84" totalsRowShown="0">
  <autoFilter ref="J79:K84"/>
  <tableColumns count="2">
    <tableColumn id="1" name="GL 63 AMG Trim" dataDxfId="105"/>
    <tableColumn id="2" name="Price" dataCellStyle="Currency"/>
  </tableColumns>
  <tableStyleInfo name="TableStyleLight8" showFirstColumn="0" showLastColumn="0" showRowStripes="1" showColumnStripes="0"/>
</table>
</file>

<file path=xl/tables/table194.xml><?xml version="1.0" encoding="utf-8"?>
<table xmlns="http://schemas.openxmlformats.org/spreadsheetml/2006/main" id="206" name="Table206" displayName="Table206" ref="A88:B91" totalsRowShown="0">
  <autoFilter ref="A88:B91"/>
  <tableColumns count="2">
    <tableColumn id="1" name="E 200, 220, 250, 300 and 400 Trim"/>
    <tableColumn id="2" name="Price" dataCellStyle="Currency"/>
  </tableColumns>
  <tableStyleInfo name="TableStyleLight8" showFirstColumn="0" showLastColumn="0" showRowStripes="1" showColumnStripes="0"/>
</table>
</file>

<file path=xl/tables/table195.xml><?xml version="1.0" encoding="utf-8"?>
<table xmlns="http://schemas.openxmlformats.org/spreadsheetml/2006/main" id="207" name="Table207" displayName="Table207" ref="D88:E93" totalsRowShown="0">
  <autoFilter ref="D88:E93"/>
  <tableColumns count="2">
    <tableColumn id="1" name="E 63 AMG S Trim" dataDxfId="104"/>
    <tableColumn id="2" name="Price" dataCellStyle="Currency"/>
  </tableColumns>
  <tableStyleInfo name="TableStyleLight8" showFirstColumn="0" showLastColumn="0" showRowStripes="1" showColumnStripes="0"/>
</table>
</file>

<file path=xl/tables/table196.xml><?xml version="1.0" encoding="utf-8"?>
<table xmlns="http://schemas.openxmlformats.org/spreadsheetml/2006/main" id="219" name="Table219" displayName="Table219" ref="A96:B102" totalsRowShown="0">
  <autoFilter ref="A96:B102"/>
  <tableColumns count="2">
    <tableColumn id="1" name="CLS-Class Coupe and Shooting Brake Trim" dataDxfId="103"/>
    <tableColumn id="2" name="Price" dataCellStyle="Currency"/>
  </tableColumns>
  <tableStyleInfo name="TableStyleLight8" showFirstColumn="0" showLastColumn="0" showRowStripes="1" showColumnStripes="0"/>
</table>
</file>

<file path=xl/tables/table197.xml><?xml version="1.0" encoding="utf-8"?>
<table xmlns="http://schemas.openxmlformats.org/spreadsheetml/2006/main" id="237" name="Table237" displayName="Table237" ref="A105:B107" totalsRowShown="0">
  <autoFilter ref="A105:B107"/>
  <tableColumns count="2">
    <tableColumn id="1" name="C 200 Trim"/>
    <tableColumn id="2" name="Price" dataDxfId="102" dataCellStyle="Currency"/>
  </tableColumns>
  <tableStyleInfo name="TableStyleLight8" showFirstColumn="0" showLastColumn="0" showRowStripes="1" showColumnStripes="0"/>
</table>
</file>

<file path=xl/tables/table198.xml><?xml version="1.0" encoding="utf-8"?>
<table xmlns="http://schemas.openxmlformats.org/spreadsheetml/2006/main" id="238" name="Table238" displayName="Table238" ref="D105:E109" totalsRowShown="0">
  <autoFilter ref="D105:E109"/>
  <tableColumns count="2">
    <tableColumn id="1" name="C 250 and 300 Trim" dataDxfId="101"/>
    <tableColumn id="2" name="Price"/>
  </tableColumns>
  <tableStyleInfo name="TableStyleLight8" showFirstColumn="0" showLastColumn="0" showRowStripes="1" showColumnStripes="0"/>
</table>
</file>

<file path=xl/tables/table199.xml><?xml version="1.0" encoding="utf-8"?>
<table xmlns="http://schemas.openxmlformats.org/spreadsheetml/2006/main" id="239" name="Table239" displayName="Table239" ref="G105:H108" totalsRowShown="0">
  <autoFilter ref="G105:H108"/>
  <tableColumns count="2">
    <tableColumn id="1" name="AMG C 63 S"/>
    <tableColumn id="2" name="Price" dataDxfId="100" dataCellStyle="Currency"/>
  </tableColumns>
  <tableStyleInfo name="TableStyleLight8" showFirstColumn="0" showLastColumn="0" showRowStripes="1" showColumnStripes="0"/>
</table>
</file>

<file path=xl/tables/table200.xml><?xml version="1.0" encoding="utf-8"?>
<table xmlns="http://schemas.openxmlformats.org/spreadsheetml/2006/main" id="244" name="Table244" displayName="Table244" ref="A112:B115" totalsRowShown="0">
  <autoFilter ref="A112:B115"/>
  <tableColumns count="2">
    <tableColumn id="1" name="B 180 Trim"/>
    <tableColumn id="2" name="Price" dataDxfId="99" dataCellStyle="Currency"/>
  </tableColumns>
  <tableStyleInfo name="TableStyleLight8" showFirstColumn="0" showLastColumn="0" showRowStripes="1" showColumnStripes="0"/>
</table>
</file>

<file path=xl/tables/table201.xml><?xml version="1.0" encoding="utf-8"?>
<table xmlns="http://schemas.openxmlformats.org/spreadsheetml/2006/main" id="245" name="Table245" displayName="Table245" ref="D112:E115" totalsRowShown="0">
  <autoFilter ref="D112:E115"/>
  <tableColumns count="2">
    <tableColumn id="1" name="B 200 Trim"/>
    <tableColumn id="2" name="Price" dataDxfId="98" dataCellStyle="Currency"/>
  </tableColumns>
  <tableStyleInfo name="TableStyleLight8" showFirstColumn="0" showLastColumn="0" showRowStripes="1" showColumnStripes="0"/>
</table>
</file>

<file path=xl/tables/table202.xml><?xml version="1.0" encoding="utf-8"?>
<table xmlns="http://schemas.openxmlformats.org/spreadsheetml/2006/main" id="246" name="Table246" displayName="Table246" ref="G112:H114" totalsRowShown="0">
  <autoFilter ref="G112:H114"/>
  <tableColumns count="2">
    <tableColumn id="1" name="B 250 4MATIC Trim" dataDxfId="97"/>
    <tableColumn id="2" name="Price" dataDxfId="96" dataCellStyle="Currency"/>
  </tableColumns>
  <tableStyleInfo name="TableStyleLight8" showFirstColumn="0" showLastColumn="0" showRowStripes="1" showColumnStripes="0"/>
</table>
</file>

<file path=xl/tables/table203.xml><?xml version="1.0" encoding="utf-8"?>
<table xmlns="http://schemas.openxmlformats.org/spreadsheetml/2006/main" id="158" name="Table158" displayName="Table158" ref="A1:B4" totalsRowShown="0">
  <autoFilter ref="A1:B4"/>
  <tableColumns count="2">
    <tableColumn id="1" name="S-Class Saloon Headlining"/>
    <tableColumn id="2" name="Price" dataCellStyle="Currency"/>
  </tableColumns>
  <tableStyleInfo name="TableStyleLight8" showFirstColumn="0" showLastColumn="0" showRowStripes="1" showColumnStripes="0"/>
</table>
</file>

<file path=xl/tables/table204.xml><?xml version="1.0" encoding="utf-8"?>
<table xmlns="http://schemas.openxmlformats.org/spreadsheetml/2006/main" id="164" name="Table164" displayName="Table164" ref="D1:E4" totalsRowShown="0">
  <autoFilter ref="D1:E4"/>
  <tableColumns count="2">
    <tableColumn id="1" name="AMG S 65 L Headlining"/>
    <tableColumn id="2" name="Price" dataDxfId="95" dataCellStyle="Currency"/>
  </tableColumns>
  <tableStyleInfo name="TableStyleLight8" showFirstColumn="0" showLastColumn="0" showRowStripes="1" showColumnStripes="0"/>
</table>
</file>

<file path=xl/tables/table205.xml><?xml version="1.0" encoding="utf-8"?>
<table xmlns="http://schemas.openxmlformats.org/spreadsheetml/2006/main" id="176" name="Table176" displayName="Table176" ref="A7:B10" totalsRowShown="0" tableBorderDxfId="94">
  <autoFilter ref="A7:B10"/>
  <tableColumns count="2">
    <tableColumn id="1" name="S 500 Headlining" dataDxfId="93"/>
    <tableColumn id="2" name="Price" dataDxfId="92" dataCellStyle="Currency"/>
  </tableColumns>
  <tableStyleInfo name="TableStyleLight8" showFirstColumn="0" showLastColumn="0" showRowStripes="1" showColumnStripes="0"/>
</table>
</file>

<file path=xl/tables/table206.xml><?xml version="1.0" encoding="utf-8"?>
<table xmlns="http://schemas.openxmlformats.org/spreadsheetml/2006/main" id="177" name="Table176178" displayName="Table176178" ref="D7:E10" totalsRowShown="0" tableBorderDxfId="91">
  <autoFilter ref="D7:E10"/>
  <tableColumns count="2">
    <tableColumn id="1" name="AMG S 63 Headlining" dataDxfId="90"/>
    <tableColumn id="2" name="Price" dataDxfId="89" dataCellStyle="Currency"/>
  </tableColumns>
  <tableStyleInfo name="TableStyleLight8" showFirstColumn="0" showLastColumn="0" showRowStripes="1" showColumnStripes="0"/>
</table>
</file>

<file path=xl/tables/table207.xml><?xml version="1.0" encoding="utf-8"?>
<table xmlns="http://schemas.openxmlformats.org/spreadsheetml/2006/main" id="178" name="Table164179" displayName="Table164179" ref="G7:H10" totalsRowShown="0">
  <autoFilter ref="G7:H10"/>
  <tableColumns count="2">
    <tableColumn id="1" name="AMG S 65 Headlining"/>
    <tableColumn id="2" name="Price" dataDxfId="88" dataCellStyle="Currency"/>
  </tableColumns>
  <tableStyleInfo name="TableStyleLight8" showFirstColumn="0" showLastColumn="0" showRowStripes="1" showColumnStripes="0"/>
</table>
</file>

<file path=xl/tables/table208.xml><?xml version="1.0" encoding="utf-8"?>
<table xmlns="http://schemas.openxmlformats.org/spreadsheetml/2006/main" id="4" name="Table4" displayName="Table4" ref="A1:B6" totalsRowShown="0">
  <autoFilter ref="A1:B6"/>
  <tableColumns count="2">
    <tableColumn id="1" name="SLK 200 Upholstery "/>
    <tableColumn id="2" name="Price" dataDxfId="87" dataCellStyle="Currency"/>
  </tableColumns>
  <tableStyleInfo name="TableStyleLight8" showFirstColumn="0" showLastColumn="0" showRowStripes="1" showColumnStripes="0"/>
</table>
</file>

<file path=xl/tables/table209.xml><?xml version="1.0" encoding="utf-8"?>
<table xmlns="http://schemas.openxmlformats.org/spreadsheetml/2006/main" id="10" name="Table411" displayName="Table411" ref="D1:E6" totalsRowShown="0">
  <autoFilter ref="D1:E6"/>
  <tableColumns count="2">
    <tableColumn id="1" name="SLK 250 Upholstery "/>
    <tableColumn id="2" name="Price" dataDxfId="86" dataCellStyle="Currency"/>
  </tableColumns>
  <tableStyleInfo name="TableStyleLight8" showFirstColumn="0" showLastColumn="0" showRowStripes="1" showColumnStripes="0"/>
</table>
</file>

<file path=xl/tables/table210.xml><?xml version="1.0" encoding="utf-8"?>
<table xmlns="http://schemas.openxmlformats.org/spreadsheetml/2006/main" id="15" name="Table41116" displayName="Table41116" ref="G1:H6" totalsRowShown="0">
  <autoFilter ref="G1:H6"/>
  <tableColumns count="2">
    <tableColumn id="1" name="SLK 350 Upholstery "/>
    <tableColumn id="2" name="Price" dataDxfId="85" dataCellStyle="Currency"/>
  </tableColumns>
  <tableStyleInfo name="TableStyleLight8" showFirstColumn="0" showLastColumn="0" showRowStripes="1" showColumnStripes="0"/>
</table>
</file>

<file path=xl/tables/table211.xml><?xml version="1.0" encoding="utf-8"?>
<table xmlns="http://schemas.openxmlformats.org/spreadsheetml/2006/main" id="20" name="Table20" displayName="Table20" ref="J1:K3" totalsRowShown="0">
  <autoFilter ref="J1:K3"/>
  <tableColumns count="2">
    <tableColumn id="1" name="SLK 55 AMG Upholstery" dataDxfId="84"/>
    <tableColumn id="2" name="Price" dataDxfId="83" dataCellStyle="Currency"/>
  </tableColumns>
  <tableStyleInfo name="TableStyleLight8" showFirstColumn="0" showLastColumn="0" showRowStripes="1" showColumnStripes="0"/>
</table>
</file>

<file path=xl/tables/table212.xml><?xml version="1.0" encoding="utf-8"?>
<table xmlns="http://schemas.openxmlformats.org/spreadsheetml/2006/main" id="25" name="Table25" displayName="Table25" ref="A9:B13" totalsRowShown="0">
  <autoFilter ref="A9:B13"/>
  <tableColumns count="2">
    <tableColumn id="1" name="GLA 200 CDI Upholstery"/>
    <tableColumn id="2" name="Price" dataCellStyle="Currency"/>
  </tableColumns>
  <tableStyleInfo name="TableStyleLight8" showFirstColumn="0" showLastColumn="0" showRowStripes="1" showColumnStripes="0"/>
</table>
</file>

<file path=xl/tables/table213.xml><?xml version="1.0" encoding="utf-8"?>
<table xmlns="http://schemas.openxmlformats.org/spreadsheetml/2006/main" id="30" name="Table2531" displayName="Table2531" ref="D9:E13" totalsRowShown="0">
  <autoFilter ref="D9:E13"/>
  <tableColumns count="2">
    <tableColumn id="1" name="GLA 250 4MATIC Upholstery"/>
    <tableColumn id="2" name="Price" dataCellStyle="Currency"/>
  </tableColumns>
  <tableStyleInfo name="TableStyleLight8" showFirstColumn="0" showLastColumn="0" showRowStripes="1" showColumnStripes="0"/>
</table>
</file>

<file path=xl/tables/table214.xml><?xml version="1.0" encoding="utf-8"?>
<table xmlns="http://schemas.openxmlformats.org/spreadsheetml/2006/main" id="35" name="Table35" displayName="Table35" ref="G9:H10" totalsRowShown="0" headerRowDxfId="82" tableBorderDxfId="81">
  <autoFilter ref="G9:H10"/>
  <tableColumns count="2">
    <tableColumn id="1" name="GLA 45 AMG 4MATIC Upholstery" dataDxfId="80"/>
    <tableColumn id="2" name="Price" dataCellStyle="Currency"/>
  </tableColumns>
  <tableStyleInfo name="TableStyleLight8" showFirstColumn="0" showLastColumn="0" showRowStripes="1" showColumnStripes="0"/>
</table>
</file>

<file path=xl/tables/table215.xml><?xml version="1.0" encoding="utf-8"?>
<table xmlns="http://schemas.openxmlformats.org/spreadsheetml/2006/main" id="40" name="Table40" displayName="Table40" ref="A16:B17" totalsRowShown="0" headerRowDxfId="79" tableBorderDxfId="78">
  <autoFilter ref="A16:B17"/>
  <tableColumns count="2">
    <tableColumn id="1" name="G 350 BlueTEC Upholstery" dataDxfId="77"/>
    <tableColumn id="2" name="Price" dataDxfId="76" dataCellStyle="Currency"/>
  </tableColumns>
  <tableStyleInfo name="TableStyleLight8" showFirstColumn="0" showLastColumn="0" showRowStripes="1" showColumnStripes="0"/>
</table>
</file>

<file path=xl/tables/table216.xml><?xml version="1.0" encoding="utf-8"?>
<table xmlns="http://schemas.openxmlformats.org/spreadsheetml/2006/main" id="44" name="Table4045" displayName="Table4045" ref="D16:E17" totalsRowShown="0" headerRowDxfId="75" tableBorderDxfId="74">
  <autoFilter ref="D16:E17"/>
  <tableColumns count="2">
    <tableColumn id="1" name="G 500 Upholstery" dataDxfId="73"/>
    <tableColumn id="2" name="Price" dataDxfId="72" dataCellStyle="Currency"/>
  </tableColumns>
  <tableStyleInfo name="TableStyleLight8" showFirstColumn="0" showLastColumn="0" showRowStripes="1" showColumnStripes="0"/>
</table>
</file>

<file path=xl/tables/table217.xml><?xml version="1.0" encoding="utf-8"?>
<table xmlns="http://schemas.openxmlformats.org/spreadsheetml/2006/main" id="49" name="Table404550" displayName="Table404550" ref="G16:H17" totalsRowShown="0" headerRowDxfId="71" tableBorderDxfId="70">
  <autoFilter ref="G16:H17"/>
  <tableColumns count="2">
    <tableColumn id="1" name="G 63 AMG Upholstery" dataDxfId="69"/>
    <tableColumn id="2" name="Price" dataDxfId="68" dataCellStyle="Currency"/>
  </tableColumns>
  <tableStyleInfo name="TableStyleLight8" showFirstColumn="0" showLastColumn="0" showRowStripes="1" showColumnStripes="0"/>
</table>
</file>

<file path=xl/tables/table218.xml><?xml version="1.0" encoding="utf-8"?>
<table xmlns="http://schemas.openxmlformats.org/spreadsheetml/2006/main" id="54" name="Table54" displayName="Table54" ref="A20:B28" totalsRowShown="0">
  <autoFilter ref="A20:B28"/>
  <tableColumns count="2">
    <tableColumn id="1" name="CLA 200 Upholstery" dataDxfId="67"/>
    <tableColumn id="2" name="Price" dataCellStyle="Currency"/>
  </tableColumns>
  <tableStyleInfo name="TableStyleLight8" showFirstColumn="0" showLastColumn="0" showRowStripes="1" showColumnStripes="0"/>
</table>
</file>

<file path=xl/tables/table219.xml><?xml version="1.0" encoding="utf-8"?>
<table xmlns="http://schemas.openxmlformats.org/spreadsheetml/2006/main" id="59" name="Table5460" displayName="Table5460" ref="D20:E28" totalsRowShown="0">
  <autoFilter ref="D20:E28"/>
  <tableColumns count="2">
    <tableColumn id="1" name="CLA 200 CDI Upholstery" dataDxfId="66"/>
    <tableColumn id="2" name="Price" dataCellStyle="Currency"/>
  </tableColumns>
  <tableStyleInfo name="TableStyleLight8" showFirstColumn="0" showLastColumn="0" showRowStripes="1" showColumnStripes="0"/>
</table>
</file>

<file path=xl/tables/table220.xml><?xml version="1.0" encoding="utf-8"?>
<table xmlns="http://schemas.openxmlformats.org/spreadsheetml/2006/main" id="64" name="Table64" displayName="Table64" ref="G20:H21" totalsRowShown="0">
  <autoFilter ref="G20:H21"/>
  <tableColumns count="2">
    <tableColumn id="1" name="CLA 250 Sport Upholstery" dataDxfId="65"/>
    <tableColumn id="2" name="Price" dataCellStyle="Currency"/>
  </tableColumns>
  <tableStyleInfo name="TableStyleLight8" showFirstColumn="0" showLastColumn="0" showRowStripes="1" showColumnStripes="0"/>
</table>
</file>

<file path=xl/tables/table221.xml><?xml version="1.0" encoding="utf-8"?>
<table xmlns="http://schemas.openxmlformats.org/spreadsheetml/2006/main" id="69" name="Table6470" displayName="Table6470" ref="J20:K21" totalsRowShown="0">
  <autoFilter ref="J20:K21"/>
  <tableColumns count="2">
    <tableColumn id="1" name="CLA 45 AMG Upholstery" dataDxfId="64"/>
    <tableColumn id="2" name="Price" dataCellStyle="Currency"/>
  </tableColumns>
  <tableStyleInfo name="TableStyleLight8" showFirstColumn="0" showLastColumn="0" showRowStripes="1" showColumnStripes="0"/>
</table>
</file>

<file path=xl/tables/table222.xml><?xml version="1.0" encoding="utf-8"?>
<table xmlns="http://schemas.openxmlformats.org/spreadsheetml/2006/main" id="90" name="Table90" displayName="Table90" ref="A31:B34" totalsRowShown="0">
  <autoFilter ref="A31:B34"/>
  <tableColumns count="2">
    <tableColumn id="1" name="A 180 Upholstery"/>
    <tableColumn id="2" name="Price" dataCellStyle="Currency"/>
  </tableColumns>
  <tableStyleInfo name="TableStyleLight8" showFirstColumn="0" showLastColumn="0" showRowStripes="1" showColumnStripes="0"/>
</table>
</file>

<file path=xl/tables/table223.xml><?xml version="1.0" encoding="utf-8"?>
<table xmlns="http://schemas.openxmlformats.org/spreadsheetml/2006/main" id="91" name="Table91" displayName="Table91" ref="D31:E38" totalsRowShown="0" tableBorderDxfId="63">
  <autoFilter ref="D31:E38"/>
  <tableColumns count="2">
    <tableColumn id="1" name="A 200 Upholstery" dataDxfId="62"/>
    <tableColumn id="2" name="Price" dataDxfId="61" dataCellStyle="Currency"/>
  </tableColumns>
  <tableStyleInfo name="TableStyleLight8" showFirstColumn="0" showLastColumn="0" showRowStripes="1" showColumnStripes="0"/>
</table>
</file>

<file path=xl/tables/table224.xml><?xml version="1.0" encoding="utf-8"?>
<table xmlns="http://schemas.openxmlformats.org/spreadsheetml/2006/main" id="92" name="Table9193" displayName="Table9193" ref="G31:H38" totalsRowShown="0" tableBorderDxfId="60">
  <autoFilter ref="G31:H38"/>
  <tableColumns count="2">
    <tableColumn id="1" name="A 200 CDI Upholstery" dataDxfId="59"/>
    <tableColumn id="2" name="Price" dataDxfId="58" dataCellStyle="Currency"/>
  </tableColumns>
  <tableStyleInfo name="TableStyleLight8" showFirstColumn="0" showLastColumn="0" showRowStripes="1" showColumnStripes="0"/>
</table>
</file>

<file path=xl/tables/table225.xml><?xml version="1.0" encoding="utf-8"?>
<table xmlns="http://schemas.openxmlformats.org/spreadsheetml/2006/main" id="93" name="Table93" displayName="Table93" ref="J31:K33" totalsRowShown="0" tableBorderDxfId="57">
  <autoFilter ref="J31:K33"/>
  <tableColumns count="2">
    <tableColumn id="1" name="A 250 Sport Upholstery " dataDxfId="56"/>
    <tableColumn id="2" name="Price" dataDxfId="55"/>
  </tableColumns>
  <tableStyleInfo name="TableStyleLight8" showFirstColumn="0" showLastColumn="0" showRowStripes="1" showColumnStripes="0"/>
</table>
</file>

<file path=xl/tables/table226.xml><?xml version="1.0" encoding="utf-8"?>
<table xmlns="http://schemas.openxmlformats.org/spreadsheetml/2006/main" id="94" name="Table647095" displayName="Table647095" ref="M31:N32" totalsRowShown="0">
  <autoFilter ref="M31:N32"/>
  <tableColumns count="2">
    <tableColumn id="1" name="A 45 AMG Upholstery" dataDxfId="54"/>
    <tableColumn id="2" name="Price" dataCellStyle="Currency"/>
  </tableColumns>
  <tableStyleInfo name="TableStyleLight8" showFirstColumn="0" showLastColumn="0" showRowStripes="1" showColumnStripes="0"/>
</table>
</file>

<file path=xl/tables/table227.xml><?xml version="1.0" encoding="utf-8"?>
<table xmlns="http://schemas.openxmlformats.org/spreadsheetml/2006/main" id="99" name="Table99" displayName="Table99" ref="A41:B46" totalsRowShown="0">
  <autoFilter ref="A41:B46"/>
  <tableColumns count="2">
    <tableColumn id="1" name="V 250 BlueTEC AVANTGARDE Upholstery"/>
    <tableColumn id="2" name="Price" dataDxfId="53" dataCellStyle="Currency"/>
  </tableColumns>
  <tableStyleInfo name="TableStyleLight8" showFirstColumn="0" showLastColumn="0" showRowStripes="1" showColumnStripes="0"/>
</table>
</file>

<file path=xl/tables/table228.xml><?xml version="1.0" encoding="utf-8"?>
<table xmlns="http://schemas.openxmlformats.org/spreadsheetml/2006/main" id="113" name="Table113" displayName="Table113" ref="A49:B57" totalsRowShown="0">
  <autoFilter ref="A49:B57"/>
  <tableColumns count="2">
    <tableColumn id="1" name="SL 400 Upholstery" dataDxfId="52"/>
    <tableColumn id="2" name="Price" dataDxfId="51" dataCellStyle="Currency"/>
  </tableColumns>
  <tableStyleInfo name="TableStyleLight8" showFirstColumn="0" showLastColumn="0" showRowStripes="1" showColumnStripes="0"/>
</table>
</file>

<file path=xl/tables/table229.xml><?xml version="1.0" encoding="utf-8"?>
<table xmlns="http://schemas.openxmlformats.org/spreadsheetml/2006/main" id="114" name="Table113115" displayName="Table113115" ref="D49:E57" totalsRowShown="0">
  <autoFilter ref="D49:E57"/>
  <tableColumns count="2">
    <tableColumn id="1" name="SL 500 Upholstery" dataDxfId="50"/>
    <tableColumn id="2" name="Price" dataDxfId="49" dataCellStyle="Currency"/>
  </tableColumns>
  <tableStyleInfo name="TableStyleLight8" showFirstColumn="0" showLastColumn="0" showRowStripes="1" showColumnStripes="0"/>
</table>
</file>

<file path=xl/tables/table230.xml><?xml version="1.0" encoding="utf-8"?>
<table xmlns="http://schemas.openxmlformats.org/spreadsheetml/2006/main" id="115" name="Table113115116" displayName="Table113115116" ref="G49:H53" totalsRowShown="0">
  <autoFilter ref="G49:H53"/>
  <tableColumns count="2">
    <tableColumn id="1" name="AMG SL 63 Upholstery" dataDxfId="48"/>
    <tableColumn id="2" name="Price" dataDxfId="47" dataCellStyle="Currency"/>
  </tableColumns>
  <tableStyleInfo name="TableStyleLight8" showFirstColumn="0" showLastColumn="0" showRowStripes="1" showColumnStripes="0"/>
</table>
</file>

<file path=xl/tables/table231.xml><?xml version="1.0" encoding="utf-8"?>
<table xmlns="http://schemas.openxmlformats.org/spreadsheetml/2006/main" id="116" name="Table113115116117" displayName="Table113115116117" ref="J49:K51" totalsRowShown="0">
  <autoFilter ref="J49:K51"/>
  <tableColumns count="2">
    <tableColumn id="1" name="AMG SL 65 Upholstery" dataDxfId="46"/>
    <tableColumn id="2" name="Price" dataDxfId="45" dataCellStyle="Currency"/>
  </tableColumns>
  <tableStyleInfo name="TableStyleLight8" showFirstColumn="0" showLastColumn="0" showRowStripes="1" showColumnStripes="0"/>
</table>
</file>

<file path=xl/tables/table232.xml><?xml version="1.0" encoding="utf-8"?>
<table xmlns="http://schemas.openxmlformats.org/spreadsheetml/2006/main" id="148" name="Table148" displayName="Table148" ref="A60:B76" totalsRowShown="0">
  <autoFilter ref="A60:B76"/>
  <tableColumns count="2">
    <tableColumn id="1" name="S 300 h Upholstery" dataDxfId="44"/>
    <tableColumn id="2" name="Price" dataDxfId="43" dataCellStyle="Currency"/>
  </tableColumns>
  <tableStyleInfo name="TableStyleLight8" showFirstColumn="0" showLastColumn="0" showRowStripes="1" showColumnStripes="0"/>
</table>
</file>

<file path=xl/tables/table233.xml><?xml version="1.0" encoding="utf-8"?>
<table xmlns="http://schemas.openxmlformats.org/spreadsheetml/2006/main" id="149" name="Table148150" displayName="Table148150" ref="D60:E76" totalsRowShown="0">
  <autoFilter ref="D60:E76"/>
  <tableColumns count="2">
    <tableColumn id="1" name="S 350 d Upholstery" dataDxfId="42"/>
    <tableColumn id="2" name="Price" dataDxfId="41" dataCellStyle="Currency"/>
  </tableColumns>
  <tableStyleInfo name="TableStyleLight8" showFirstColumn="0" showLastColumn="0" showRowStripes="1" showColumnStripes="0"/>
</table>
</file>

<file path=xl/tables/table234.xml><?xml version="1.0" encoding="utf-8"?>
<table xmlns="http://schemas.openxmlformats.org/spreadsheetml/2006/main" id="150" name="Table148150151" displayName="Table148150151" ref="G60:H76" totalsRowShown="0">
  <autoFilter ref="G60:H76"/>
  <tableColumns count="2">
    <tableColumn id="1" name="S 350 d L Upholstery" dataDxfId="40"/>
    <tableColumn id="2" name="Price" dataDxfId="39" dataCellStyle="Currency"/>
  </tableColumns>
  <tableStyleInfo name="TableStyleLight8" showFirstColumn="0" showLastColumn="0" showRowStripes="1" showColumnStripes="0"/>
</table>
</file>

<file path=xl/tables/table235.xml><?xml version="1.0" encoding="utf-8"?>
<table xmlns="http://schemas.openxmlformats.org/spreadsheetml/2006/main" id="151" name="Table148150151152" displayName="Table148150151152" ref="J60:K76" totalsRowShown="0">
  <autoFilter ref="J60:K76"/>
  <tableColumns count="2">
    <tableColumn id="1" name="S 400 L Upholstery" dataDxfId="38"/>
    <tableColumn id="2" name="Price" dataDxfId="37" dataCellStyle="Currency"/>
  </tableColumns>
  <tableStyleInfo name="TableStyleLight8" showFirstColumn="0" showLastColumn="0" showRowStripes="1" showColumnStripes="0"/>
</table>
</file>

<file path=xl/tables/table236.xml><?xml version="1.0" encoding="utf-8"?>
<table xmlns="http://schemas.openxmlformats.org/spreadsheetml/2006/main" id="152" name="Table148150151152153" displayName="Table148150151152153" ref="M60:N76" totalsRowShown="0">
  <autoFilter ref="M60:N76"/>
  <tableColumns count="2">
    <tableColumn id="1" name="S 500 Upholstery" dataDxfId="36"/>
    <tableColumn id="2" name="Price" dataDxfId="35" dataCellStyle="Currency"/>
  </tableColumns>
  <tableStyleInfo name="TableStyleLight8" showFirstColumn="0" showLastColumn="0" showRowStripes="1" showColumnStripes="0"/>
</table>
</file>

<file path=xl/tables/table237.xml><?xml version="1.0" encoding="utf-8"?>
<table xmlns="http://schemas.openxmlformats.org/spreadsheetml/2006/main" id="153" name="Table148150151152153154" displayName="Table148150151152153154" ref="P60:Q76" totalsRowShown="0">
  <autoFilter ref="P60:Q76"/>
  <tableColumns count="2">
    <tableColumn id="1" name="S 500 L Upholstery" dataDxfId="34"/>
    <tableColumn id="2" name="Price" dataDxfId="33" dataCellStyle="Currency"/>
  </tableColumns>
  <tableStyleInfo name="TableStyleLight8" showFirstColumn="0" showLastColumn="0" showRowStripes="1" showColumnStripes="0"/>
</table>
</file>

<file path=xl/tables/table238.xml><?xml version="1.0" encoding="utf-8"?>
<table xmlns="http://schemas.openxmlformats.org/spreadsheetml/2006/main" id="154" name="Table148150151152153154155" displayName="Table148150151152153154155" ref="S60:T67" totalsRowShown="0">
  <autoFilter ref="S60:T67"/>
  <tableColumns count="2">
    <tableColumn id="1" name="S 600 L Upholstery" dataDxfId="32"/>
    <tableColumn id="2" name="Price" dataDxfId="31" dataCellStyle="Currency"/>
  </tableColumns>
  <tableStyleInfo name="TableStyleLight8" showFirstColumn="0" showLastColumn="0" showRowStripes="1" showColumnStripes="0"/>
</table>
</file>

<file path=xl/tables/table239.xml><?xml version="1.0" encoding="utf-8"?>
<table xmlns="http://schemas.openxmlformats.org/spreadsheetml/2006/main" id="155" name="Table148150151152153154155156" displayName="Table148150151152153154155156" ref="V60:W72" totalsRowShown="0">
  <autoFilter ref="V60:W72"/>
  <tableColumns count="2">
    <tableColumn id="1" name="AMG S 63 Upholstery" dataDxfId="30"/>
    <tableColumn id="2" name="Price" dataDxfId="29" dataCellStyle="Currency"/>
  </tableColumns>
  <tableStyleInfo name="TableStyleLight8" showFirstColumn="0" showLastColumn="0" showRowStripes="1" showColumnStripes="0"/>
</table>
</file>

<file path=xl/tables/table240.xml><?xml version="1.0" encoding="utf-8"?>
<table xmlns="http://schemas.openxmlformats.org/spreadsheetml/2006/main" id="156" name="Table148150151152153154155156157" displayName="Table148150151152153154155156157" ref="Y60:Z72" totalsRowShown="0">
  <autoFilter ref="Y60:Z72"/>
  <tableColumns count="2">
    <tableColumn id="1" name="AMG S 63 L Upholstery" dataDxfId="28"/>
    <tableColumn id="2" name="Price" dataDxfId="27" dataCellStyle="Currency"/>
  </tableColumns>
  <tableStyleInfo name="TableStyleLight8" showFirstColumn="0" showLastColumn="0" showRowStripes="1" showColumnStripes="0"/>
</table>
</file>

<file path=xl/tables/table241.xml><?xml version="1.0" encoding="utf-8"?>
<table xmlns="http://schemas.openxmlformats.org/spreadsheetml/2006/main" id="157" name="Table148150151152153154155156157158" displayName="Table148150151152153154155156157158" ref="AB60:AC67" totalsRowShown="0">
  <autoFilter ref="AB60:AC67"/>
  <tableColumns count="2">
    <tableColumn id="1" name="AMG S 65 L Upholstery" dataDxfId="26"/>
    <tableColumn id="2" name="Price" dataDxfId="25" dataCellStyle="Currency"/>
  </tableColumns>
  <tableStyleInfo name="TableStyleLight8" showFirstColumn="0" showLastColumn="0" showRowStripes="1" showColumnStripes="0"/>
</table>
</file>

<file path=xl/tables/table242.xml><?xml version="1.0" encoding="utf-8"?>
<table xmlns="http://schemas.openxmlformats.org/spreadsheetml/2006/main" id="175" name="Table148176" displayName="Table148176" ref="A79:B90" totalsRowShown="0">
  <autoFilter ref="A79:B90"/>
  <tableColumns count="2">
    <tableColumn id="1" name="S 500 Upholstery" dataDxfId="24"/>
    <tableColumn id="2" name="Price" dataDxfId="23" dataCellStyle="Currency"/>
  </tableColumns>
  <tableStyleInfo name="TableStyleLight8" showFirstColumn="0" showLastColumn="0" showRowStripes="1" showColumnStripes="0"/>
</table>
</file>

<file path=xl/tables/table243.xml><?xml version="1.0" encoding="utf-8"?>
<table xmlns="http://schemas.openxmlformats.org/spreadsheetml/2006/main" id="192" name="Table192" displayName="Table192" ref="A93:B101" totalsRowShown="0">
  <autoFilter ref="A93:B101"/>
  <tableColumns count="2">
    <tableColumn id="1" name="GL 350 and 500 Upholstery" dataDxfId="22"/>
    <tableColumn id="2" name="Price" dataDxfId="21" dataCellStyle="Currency"/>
  </tableColumns>
  <tableStyleInfo name="TableStyleLight8" showFirstColumn="0" showLastColumn="0" showRowStripes="1" showColumnStripes="0"/>
</table>
</file>

<file path=xl/tables/table244.xml><?xml version="1.0" encoding="utf-8"?>
<table xmlns="http://schemas.openxmlformats.org/spreadsheetml/2006/main" id="193" name="Table192194" displayName="Table192194" ref="D93:E97" totalsRowShown="0">
  <autoFilter ref="D93:E97"/>
  <tableColumns count="2">
    <tableColumn id="1" name="GL 63 AMG Upholstery" dataDxfId="20"/>
    <tableColumn id="2" name="Price" dataDxfId="19" dataCellStyle="Currency"/>
  </tableColumns>
  <tableStyleInfo name="TableStyleLight8" showFirstColumn="0" showLastColumn="0" showRowStripes="1" showColumnStripes="0"/>
</table>
</file>

<file path=xl/tables/table245.xml><?xml version="1.0" encoding="utf-8"?>
<table xmlns="http://schemas.openxmlformats.org/spreadsheetml/2006/main" id="208" name="Table208" displayName="Table208" ref="A104:B112" totalsRowShown="0">
  <autoFilter ref="A104:B112"/>
  <tableColumns count="2">
    <tableColumn id="1" name="E 200 and 220 Upholstery" dataDxfId="18"/>
    <tableColumn id="2" name="Price" dataCellStyle="Currency"/>
  </tableColumns>
  <tableStyleInfo name="TableStyleLight8" showFirstColumn="0" showLastColumn="0" showRowStripes="1" showColumnStripes="0"/>
</table>
</file>

<file path=xl/tables/table246.xml><?xml version="1.0" encoding="utf-8"?>
<table xmlns="http://schemas.openxmlformats.org/spreadsheetml/2006/main" id="209" name="Table209" displayName="Table209" ref="D104:E119" totalsRowShown="0">
  <autoFilter ref="D104:E119"/>
  <tableColumns count="2">
    <tableColumn id="1" name="E 250, 300 and 400 Upholstery" dataDxfId="17"/>
    <tableColumn id="2" name="Price" dataCellStyle="Currency"/>
  </tableColumns>
  <tableStyleInfo name="TableStyleLight8" showFirstColumn="0" showLastColumn="0" showRowStripes="1" showColumnStripes="0"/>
</table>
</file>

<file path=xl/tables/table247.xml><?xml version="1.0" encoding="utf-8"?>
<table xmlns="http://schemas.openxmlformats.org/spreadsheetml/2006/main" id="210" name="Table210" displayName="Table210" ref="G104:H113" totalsRowShown="0">
  <autoFilter ref="G104:H113"/>
  <tableColumns count="2">
    <tableColumn id="1" name="E 63 AMG S Upholstery" dataDxfId="16"/>
    <tableColumn id="2" name="Price" dataCellStyle="Currency"/>
  </tableColumns>
  <tableStyleInfo name="TableStyleLight8" showFirstColumn="0" showLastColumn="0" showRowStripes="1" showColumnStripes="0"/>
</table>
</file>

<file path=xl/tables/table248.xml><?xml version="1.0" encoding="utf-8"?>
<table xmlns="http://schemas.openxmlformats.org/spreadsheetml/2006/main" id="220" name="Table220" displayName="Table220" ref="A122:B134" totalsRowShown="0">
  <autoFilter ref="A122:B134"/>
  <tableColumns count="2">
    <tableColumn id="1" name="CLS 250 CDI Upholstery" dataDxfId="15"/>
    <tableColumn id="2" name="Price" dataCellStyle="Currency"/>
  </tableColumns>
  <tableStyleInfo name="TableStyleLight8" showFirstColumn="0" showLastColumn="0" showRowStripes="1" showColumnStripes="0"/>
</table>
</file>

<file path=xl/tables/table249.xml><?xml version="1.0" encoding="utf-8"?>
<table xmlns="http://schemas.openxmlformats.org/spreadsheetml/2006/main" id="221" name="Table221" displayName="Table221" ref="D122:E133" totalsRowShown="0">
  <autoFilter ref="D122:E133"/>
  <tableColumns count="2">
    <tableColumn id="1" name="CLS 400 Upholstery" dataDxfId="14"/>
    <tableColumn id="2" name="Price" dataCellStyle="Currency"/>
  </tableColumns>
  <tableStyleInfo name="TableStyleLight8" showFirstColumn="0" showLastColumn="0" showRowStripes="1" showColumnStripes="0"/>
</table>
</file>

<file path=xl/tables/table250.xml><?xml version="1.0" encoding="utf-8"?>
<table xmlns="http://schemas.openxmlformats.org/spreadsheetml/2006/main" id="222" name="Table222" displayName="Table222" ref="G122:H127" totalsRowShown="0" tableBorderDxfId="13">
  <autoFilter ref="G122:H127"/>
  <tableColumns count="2">
    <tableColumn id="1" name="CLS 500 Upholstery" dataDxfId="12"/>
    <tableColumn id="2" name="Price" dataDxfId="11" dataCellStyle="Currency"/>
  </tableColumns>
  <tableStyleInfo name="TableStyleLight8" showFirstColumn="0" showLastColumn="0" showRowStripes="1" showColumnStripes="0"/>
</table>
</file>

<file path=xl/tables/table251.xml><?xml version="1.0" encoding="utf-8"?>
<table xmlns="http://schemas.openxmlformats.org/spreadsheetml/2006/main" id="223" name="Table223" displayName="Table223" ref="J122:K125" totalsRowShown="0">
  <autoFilter ref="J122:K125"/>
  <tableColumns count="2">
    <tableColumn id="1" name="CLS 63 AMG S Upholstery"/>
    <tableColumn id="2" name="Price"/>
  </tableColumns>
  <tableStyleInfo name="TableStyleLight8" showFirstColumn="0" showLastColumn="0" showRowStripes="1" showColumnStripes="0"/>
</table>
</file>

<file path=xl/tables/table252.xml><?xml version="1.0" encoding="utf-8"?>
<table xmlns="http://schemas.openxmlformats.org/spreadsheetml/2006/main" id="227" name="Table220228" displayName="Table220228" ref="A137:B149" totalsRowShown="0">
  <autoFilter ref="A137:B149"/>
  <tableColumns count="2">
    <tableColumn id="1" name="CLS 250 CDI Shooting Brake Upholstery" dataDxfId="10"/>
    <tableColumn id="2" name="Price" dataCellStyle="Currency"/>
  </tableColumns>
  <tableStyleInfo name="TableStyleLight8" showFirstColumn="0" showLastColumn="0" showRowStripes="1" showColumnStripes="0"/>
</table>
</file>

<file path=xl/tables/table253.xml><?xml version="1.0" encoding="utf-8"?>
<table xmlns="http://schemas.openxmlformats.org/spreadsheetml/2006/main" id="228" name="Table228" displayName="Table228" ref="D137:E143" totalsRowShown="0">
  <autoFilter ref="D137:E143"/>
  <tableColumns count="2">
    <tableColumn id="1" name="CLS 500 Shooting Brake" dataDxfId="9"/>
    <tableColumn id="2" name="Price" dataCellStyle="Currency"/>
  </tableColumns>
  <tableStyleInfo name="TableStyleLight8" showFirstColumn="0" showLastColumn="0" showRowStripes="1" showColumnStripes="0"/>
</table>
</file>

<file path=xl/tables/table254.xml><?xml version="1.0" encoding="utf-8"?>
<table xmlns="http://schemas.openxmlformats.org/spreadsheetml/2006/main" id="95" name="Table95" displayName="Table95" ref="A152:B156" totalsRowShown="0">
  <autoFilter ref="A152:B156"/>
  <tableColumns count="2">
    <tableColumn id="1" name="C 200 Upholstery"/>
    <tableColumn id="2" name="Price" dataDxfId="8" dataCellStyle="Currency"/>
  </tableColumns>
  <tableStyleInfo name="TableStyleLight8" showFirstColumn="0" showLastColumn="0" showRowStripes="1" showColumnStripes="0"/>
</table>
</file>

<file path=xl/tables/table255.xml><?xml version="1.0" encoding="utf-8"?>
<table xmlns="http://schemas.openxmlformats.org/spreadsheetml/2006/main" id="159" name="Table159" displayName="Table159" ref="D152:E160" totalsRowShown="0">
  <autoFilter ref="D152:E160"/>
  <tableColumns count="2">
    <tableColumn id="1" name="C 250 and 300 Upholstery" dataDxfId="7"/>
    <tableColumn id="2" name="Price" dataCellStyle="Currency"/>
  </tableColumns>
  <tableStyleInfo name="TableStyleLight8" showFirstColumn="0" showLastColumn="0" showRowStripes="1" showColumnStripes="0"/>
</table>
</file>

<file path=xl/tables/table256.xml><?xml version="1.0" encoding="utf-8"?>
<table xmlns="http://schemas.openxmlformats.org/spreadsheetml/2006/main" id="160" name="Table160" displayName="Table160" ref="G152:H156" totalsRowShown="0">
  <autoFilter ref="G152:H156"/>
  <tableColumns count="2">
    <tableColumn id="1" name="AMG C 63 S"/>
    <tableColumn id="2" name="Price" dataDxfId="6" dataCellStyle="Currency"/>
  </tableColumns>
  <tableStyleInfo name="TableStyleLight8" showFirstColumn="0" showLastColumn="0" showRowStripes="1" showColumnStripes="0"/>
</table>
</file>

<file path=xl/tables/table257.xml><?xml version="1.0" encoding="utf-8"?>
<table xmlns="http://schemas.openxmlformats.org/spreadsheetml/2006/main" id="247" name="Table247" displayName="Table247" ref="A163:B169" totalsRowShown="0">
  <autoFilter ref="A163:B169"/>
  <tableColumns count="2">
    <tableColumn id="1" name="B 180 Upholstery"/>
    <tableColumn id="2" name="Price" dataDxfId="5" dataCellStyle="Currency"/>
  </tableColumns>
  <tableStyleInfo name="TableStyleLight8" showFirstColumn="0" showLastColumn="0" showRowStripes="1" showColumnStripes="0"/>
</table>
</file>

<file path=xl/tables/table258.xml><?xml version="1.0" encoding="utf-8"?>
<table xmlns="http://schemas.openxmlformats.org/spreadsheetml/2006/main" id="248" name="Table248" displayName="Table248" ref="D164:E172" totalsRowShown="0" headerRowDxfId="4">
  <autoFilter ref="D164:E172"/>
  <tableColumns count="2">
    <tableColumn id="1" name="Column1" dataDxfId="3"/>
    <tableColumn id="2" name="Column2" dataDxfId="2" dataCellStyle="Currency"/>
  </tableColumns>
  <tableStyleInfo name="TableStyleLight8" showFirstColumn="0" showLastColumn="0" showRowStripes="1" showColumnStripes="0"/>
</table>
</file>

<file path=xl/tables/table259.xml><?xml version="1.0" encoding="utf-8"?>
<table xmlns="http://schemas.openxmlformats.org/spreadsheetml/2006/main" id="249" name="Table249" displayName="Table249" ref="G164:H166" totalsRowShown="0">
  <autoFilter ref="G164:H166"/>
  <tableColumns count="2">
    <tableColumn id="1" name="B 250 4MATIC Upholstery" dataDxfId="1"/>
    <tableColumn id="2" name="Price" dataDxfId="0" dataCellStyle="Currency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table" Target="../tables/table12.xml"/><Relationship Id="rId18" Type="http://schemas.openxmlformats.org/officeDocument/2006/relationships/table" Target="../tables/table17.xml"/><Relationship Id="rId26" Type="http://schemas.openxmlformats.org/officeDocument/2006/relationships/table" Target="../tables/table25.xml"/><Relationship Id="rId39" Type="http://schemas.openxmlformats.org/officeDocument/2006/relationships/table" Target="../tables/table38.xml"/><Relationship Id="rId21" Type="http://schemas.openxmlformats.org/officeDocument/2006/relationships/table" Target="../tables/table20.xml"/><Relationship Id="rId34" Type="http://schemas.openxmlformats.org/officeDocument/2006/relationships/table" Target="../tables/table33.xml"/><Relationship Id="rId42" Type="http://schemas.openxmlformats.org/officeDocument/2006/relationships/table" Target="../tables/table41.xml"/><Relationship Id="rId47" Type="http://schemas.openxmlformats.org/officeDocument/2006/relationships/table" Target="../tables/table46.xml"/><Relationship Id="rId50" Type="http://schemas.openxmlformats.org/officeDocument/2006/relationships/table" Target="../tables/table49.xml"/><Relationship Id="rId55" Type="http://schemas.openxmlformats.org/officeDocument/2006/relationships/table" Target="../tables/table54.xml"/><Relationship Id="rId63" Type="http://schemas.openxmlformats.org/officeDocument/2006/relationships/table" Target="../tables/table62.xml"/><Relationship Id="rId68" Type="http://schemas.openxmlformats.org/officeDocument/2006/relationships/table" Target="../tables/table67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6" Type="http://schemas.openxmlformats.org/officeDocument/2006/relationships/table" Target="../tables/table15.xml"/><Relationship Id="rId29" Type="http://schemas.openxmlformats.org/officeDocument/2006/relationships/table" Target="../tables/table28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24" Type="http://schemas.openxmlformats.org/officeDocument/2006/relationships/table" Target="../tables/table23.xml"/><Relationship Id="rId32" Type="http://schemas.openxmlformats.org/officeDocument/2006/relationships/table" Target="../tables/table31.xml"/><Relationship Id="rId37" Type="http://schemas.openxmlformats.org/officeDocument/2006/relationships/table" Target="../tables/table36.xml"/><Relationship Id="rId40" Type="http://schemas.openxmlformats.org/officeDocument/2006/relationships/table" Target="../tables/table39.xml"/><Relationship Id="rId45" Type="http://schemas.openxmlformats.org/officeDocument/2006/relationships/table" Target="../tables/table44.xml"/><Relationship Id="rId53" Type="http://schemas.openxmlformats.org/officeDocument/2006/relationships/table" Target="../tables/table52.xml"/><Relationship Id="rId58" Type="http://schemas.openxmlformats.org/officeDocument/2006/relationships/table" Target="../tables/table57.xml"/><Relationship Id="rId66" Type="http://schemas.openxmlformats.org/officeDocument/2006/relationships/table" Target="../tables/table65.xml"/><Relationship Id="rId5" Type="http://schemas.openxmlformats.org/officeDocument/2006/relationships/table" Target="../tables/table4.xml"/><Relationship Id="rId15" Type="http://schemas.openxmlformats.org/officeDocument/2006/relationships/table" Target="../tables/table14.xml"/><Relationship Id="rId23" Type="http://schemas.openxmlformats.org/officeDocument/2006/relationships/table" Target="../tables/table22.xml"/><Relationship Id="rId28" Type="http://schemas.openxmlformats.org/officeDocument/2006/relationships/table" Target="../tables/table27.xml"/><Relationship Id="rId36" Type="http://schemas.openxmlformats.org/officeDocument/2006/relationships/table" Target="../tables/table35.xml"/><Relationship Id="rId49" Type="http://schemas.openxmlformats.org/officeDocument/2006/relationships/table" Target="../tables/table48.xml"/><Relationship Id="rId57" Type="http://schemas.openxmlformats.org/officeDocument/2006/relationships/table" Target="../tables/table56.xml"/><Relationship Id="rId61" Type="http://schemas.openxmlformats.org/officeDocument/2006/relationships/table" Target="../tables/table60.xml"/><Relationship Id="rId10" Type="http://schemas.openxmlformats.org/officeDocument/2006/relationships/table" Target="../tables/table9.xml"/><Relationship Id="rId19" Type="http://schemas.openxmlformats.org/officeDocument/2006/relationships/table" Target="../tables/table18.xml"/><Relationship Id="rId31" Type="http://schemas.openxmlformats.org/officeDocument/2006/relationships/table" Target="../tables/table30.xml"/><Relationship Id="rId44" Type="http://schemas.openxmlformats.org/officeDocument/2006/relationships/table" Target="../tables/table43.xml"/><Relationship Id="rId52" Type="http://schemas.openxmlformats.org/officeDocument/2006/relationships/table" Target="../tables/table51.xml"/><Relationship Id="rId60" Type="http://schemas.openxmlformats.org/officeDocument/2006/relationships/table" Target="../tables/table59.xml"/><Relationship Id="rId65" Type="http://schemas.openxmlformats.org/officeDocument/2006/relationships/table" Target="../tables/table64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Relationship Id="rId14" Type="http://schemas.openxmlformats.org/officeDocument/2006/relationships/table" Target="../tables/table13.xml"/><Relationship Id="rId22" Type="http://schemas.openxmlformats.org/officeDocument/2006/relationships/table" Target="../tables/table21.xml"/><Relationship Id="rId27" Type="http://schemas.openxmlformats.org/officeDocument/2006/relationships/table" Target="../tables/table26.xml"/><Relationship Id="rId30" Type="http://schemas.openxmlformats.org/officeDocument/2006/relationships/table" Target="../tables/table29.xml"/><Relationship Id="rId35" Type="http://schemas.openxmlformats.org/officeDocument/2006/relationships/table" Target="../tables/table34.xml"/><Relationship Id="rId43" Type="http://schemas.openxmlformats.org/officeDocument/2006/relationships/table" Target="../tables/table42.xml"/><Relationship Id="rId48" Type="http://schemas.openxmlformats.org/officeDocument/2006/relationships/table" Target="../tables/table47.xml"/><Relationship Id="rId56" Type="http://schemas.openxmlformats.org/officeDocument/2006/relationships/table" Target="../tables/table55.xml"/><Relationship Id="rId64" Type="http://schemas.openxmlformats.org/officeDocument/2006/relationships/table" Target="../tables/table63.xml"/><Relationship Id="rId69" Type="http://schemas.openxmlformats.org/officeDocument/2006/relationships/table" Target="../tables/table68.xml"/><Relationship Id="rId8" Type="http://schemas.openxmlformats.org/officeDocument/2006/relationships/table" Target="../tables/table7.xml"/><Relationship Id="rId51" Type="http://schemas.openxmlformats.org/officeDocument/2006/relationships/table" Target="../tables/table50.xml"/><Relationship Id="rId3" Type="http://schemas.openxmlformats.org/officeDocument/2006/relationships/table" Target="../tables/table2.xml"/><Relationship Id="rId12" Type="http://schemas.openxmlformats.org/officeDocument/2006/relationships/table" Target="../tables/table11.xml"/><Relationship Id="rId17" Type="http://schemas.openxmlformats.org/officeDocument/2006/relationships/table" Target="../tables/table16.xml"/><Relationship Id="rId25" Type="http://schemas.openxmlformats.org/officeDocument/2006/relationships/table" Target="../tables/table24.xml"/><Relationship Id="rId33" Type="http://schemas.openxmlformats.org/officeDocument/2006/relationships/table" Target="../tables/table32.xml"/><Relationship Id="rId38" Type="http://schemas.openxmlformats.org/officeDocument/2006/relationships/table" Target="../tables/table37.xml"/><Relationship Id="rId46" Type="http://schemas.openxmlformats.org/officeDocument/2006/relationships/table" Target="../tables/table45.xml"/><Relationship Id="rId59" Type="http://schemas.openxmlformats.org/officeDocument/2006/relationships/table" Target="../tables/table58.xml"/><Relationship Id="rId67" Type="http://schemas.openxmlformats.org/officeDocument/2006/relationships/table" Target="../tables/table66.xml"/><Relationship Id="rId20" Type="http://schemas.openxmlformats.org/officeDocument/2006/relationships/table" Target="../tables/table19.xml"/><Relationship Id="rId41" Type="http://schemas.openxmlformats.org/officeDocument/2006/relationships/table" Target="../tables/table40.xml"/><Relationship Id="rId54" Type="http://schemas.openxmlformats.org/officeDocument/2006/relationships/table" Target="../tables/table53.xml"/><Relationship Id="rId62" Type="http://schemas.openxmlformats.org/officeDocument/2006/relationships/table" Target="../tables/table61.xml"/><Relationship Id="rId70" Type="http://schemas.openxmlformats.org/officeDocument/2006/relationships/table" Target="../tables/table6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6.xml"/><Relationship Id="rId13" Type="http://schemas.openxmlformats.org/officeDocument/2006/relationships/table" Target="../tables/table81.xml"/><Relationship Id="rId18" Type="http://schemas.openxmlformats.org/officeDocument/2006/relationships/table" Target="../tables/table86.xml"/><Relationship Id="rId26" Type="http://schemas.openxmlformats.org/officeDocument/2006/relationships/table" Target="../tables/table94.xml"/><Relationship Id="rId3" Type="http://schemas.openxmlformats.org/officeDocument/2006/relationships/table" Target="../tables/table71.xml"/><Relationship Id="rId21" Type="http://schemas.openxmlformats.org/officeDocument/2006/relationships/table" Target="../tables/table89.xml"/><Relationship Id="rId7" Type="http://schemas.openxmlformats.org/officeDocument/2006/relationships/table" Target="../tables/table75.xml"/><Relationship Id="rId12" Type="http://schemas.openxmlformats.org/officeDocument/2006/relationships/table" Target="../tables/table80.xml"/><Relationship Id="rId17" Type="http://schemas.openxmlformats.org/officeDocument/2006/relationships/table" Target="../tables/table85.xml"/><Relationship Id="rId25" Type="http://schemas.openxmlformats.org/officeDocument/2006/relationships/table" Target="../tables/table93.xml"/><Relationship Id="rId2" Type="http://schemas.openxmlformats.org/officeDocument/2006/relationships/table" Target="../tables/table70.xml"/><Relationship Id="rId16" Type="http://schemas.openxmlformats.org/officeDocument/2006/relationships/table" Target="../tables/table84.xml"/><Relationship Id="rId20" Type="http://schemas.openxmlformats.org/officeDocument/2006/relationships/table" Target="../tables/table88.xml"/><Relationship Id="rId29" Type="http://schemas.openxmlformats.org/officeDocument/2006/relationships/table" Target="../tables/table97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74.xml"/><Relationship Id="rId11" Type="http://schemas.openxmlformats.org/officeDocument/2006/relationships/table" Target="../tables/table79.xml"/><Relationship Id="rId24" Type="http://schemas.openxmlformats.org/officeDocument/2006/relationships/table" Target="../tables/table92.xml"/><Relationship Id="rId5" Type="http://schemas.openxmlformats.org/officeDocument/2006/relationships/table" Target="../tables/table73.xml"/><Relationship Id="rId15" Type="http://schemas.openxmlformats.org/officeDocument/2006/relationships/table" Target="../tables/table83.xml"/><Relationship Id="rId23" Type="http://schemas.openxmlformats.org/officeDocument/2006/relationships/table" Target="../tables/table91.xml"/><Relationship Id="rId28" Type="http://schemas.openxmlformats.org/officeDocument/2006/relationships/table" Target="../tables/table96.xml"/><Relationship Id="rId10" Type="http://schemas.openxmlformats.org/officeDocument/2006/relationships/table" Target="../tables/table78.xml"/><Relationship Id="rId19" Type="http://schemas.openxmlformats.org/officeDocument/2006/relationships/table" Target="../tables/table87.xml"/><Relationship Id="rId31" Type="http://schemas.openxmlformats.org/officeDocument/2006/relationships/table" Target="../tables/table99.xml"/><Relationship Id="rId4" Type="http://schemas.openxmlformats.org/officeDocument/2006/relationships/table" Target="../tables/table72.xml"/><Relationship Id="rId9" Type="http://schemas.openxmlformats.org/officeDocument/2006/relationships/table" Target="../tables/table77.xml"/><Relationship Id="rId14" Type="http://schemas.openxmlformats.org/officeDocument/2006/relationships/table" Target="../tables/table82.xml"/><Relationship Id="rId22" Type="http://schemas.openxmlformats.org/officeDocument/2006/relationships/table" Target="../tables/table90.xml"/><Relationship Id="rId27" Type="http://schemas.openxmlformats.org/officeDocument/2006/relationships/table" Target="../tables/table95.xml"/><Relationship Id="rId30" Type="http://schemas.openxmlformats.org/officeDocument/2006/relationships/table" Target="../tables/table98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table" Target="../tables/table111.xml"/><Relationship Id="rId18" Type="http://schemas.openxmlformats.org/officeDocument/2006/relationships/table" Target="../tables/table116.xml"/><Relationship Id="rId26" Type="http://schemas.openxmlformats.org/officeDocument/2006/relationships/table" Target="../tables/table124.xml"/><Relationship Id="rId39" Type="http://schemas.openxmlformats.org/officeDocument/2006/relationships/table" Target="../tables/table137.xml"/><Relationship Id="rId3" Type="http://schemas.openxmlformats.org/officeDocument/2006/relationships/table" Target="../tables/table101.xml"/><Relationship Id="rId21" Type="http://schemas.openxmlformats.org/officeDocument/2006/relationships/table" Target="../tables/table119.xml"/><Relationship Id="rId34" Type="http://schemas.openxmlformats.org/officeDocument/2006/relationships/table" Target="../tables/table132.xml"/><Relationship Id="rId42" Type="http://schemas.openxmlformats.org/officeDocument/2006/relationships/table" Target="../tables/table140.xml"/><Relationship Id="rId47" Type="http://schemas.openxmlformats.org/officeDocument/2006/relationships/table" Target="../tables/table145.xml"/><Relationship Id="rId50" Type="http://schemas.openxmlformats.org/officeDocument/2006/relationships/table" Target="../tables/table148.xml"/><Relationship Id="rId7" Type="http://schemas.openxmlformats.org/officeDocument/2006/relationships/table" Target="../tables/table105.xml"/><Relationship Id="rId12" Type="http://schemas.openxmlformats.org/officeDocument/2006/relationships/table" Target="../tables/table110.xml"/><Relationship Id="rId17" Type="http://schemas.openxmlformats.org/officeDocument/2006/relationships/table" Target="../tables/table115.xml"/><Relationship Id="rId25" Type="http://schemas.openxmlformats.org/officeDocument/2006/relationships/table" Target="../tables/table123.xml"/><Relationship Id="rId33" Type="http://schemas.openxmlformats.org/officeDocument/2006/relationships/table" Target="../tables/table131.xml"/><Relationship Id="rId38" Type="http://schemas.openxmlformats.org/officeDocument/2006/relationships/table" Target="../tables/table136.xml"/><Relationship Id="rId46" Type="http://schemas.openxmlformats.org/officeDocument/2006/relationships/table" Target="../tables/table144.xml"/><Relationship Id="rId2" Type="http://schemas.openxmlformats.org/officeDocument/2006/relationships/table" Target="../tables/table100.xml"/><Relationship Id="rId16" Type="http://schemas.openxmlformats.org/officeDocument/2006/relationships/table" Target="../tables/table114.xml"/><Relationship Id="rId20" Type="http://schemas.openxmlformats.org/officeDocument/2006/relationships/table" Target="../tables/table118.xml"/><Relationship Id="rId29" Type="http://schemas.openxmlformats.org/officeDocument/2006/relationships/table" Target="../tables/table127.xml"/><Relationship Id="rId41" Type="http://schemas.openxmlformats.org/officeDocument/2006/relationships/table" Target="../tables/table139.xml"/><Relationship Id="rId54" Type="http://schemas.openxmlformats.org/officeDocument/2006/relationships/table" Target="../tables/table152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04.xml"/><Relationship Id="rId11" Type="http://schemas.openxmlformats.org/officeDocument/2006/relationships/table" Target="../tables/table109.xml"/><Relationship Id="rId24" Type="http://schemas.openxmlformats.org/officeDocument/2006/relationships/table" Target="../tables/table122.xml"/><Relationship Id="rId32" Type="http://schemas.openxmlformats.org/officeDocument/2006/relationships/table" Target="../tables/table130.xml"/><Relationship Id="rId37" Type="http://schemas.openxmlformats.org/officeDocument/2006/relationships/table" Target="../tables/table135.xml"/><Relationship Id="rId40" Type="http://schemas.openxmlformats.org/officeDocument/2006/relationships/table" Target="../tables/table138.xml"/><Relationship Id="rId45" Type="http://schemas.openxmlformats.org/officeDocument/2006/relationships/table" Target="../tables/table143.xml"/><Relationship Id="rId53" Type="http://schemas.openxmlformats.org/officeDocument/2006/relationships/table" Target="../tables/table151.xml"/><Relationship Id="rId5" Type="http://schemas.openxmlformats.org/officeDocument/2006/relationships/table" Target="../tables/table103.xml"/><Relationship Id="rId15" Type="http://schemas.openxmlformats.org/officeDocument/2006/relationships/table" Target="../tables/table113.xml"/><Relationship Id="rId23" Type="http://schemas.openxmlformats.org/officeDocument/2006/relationships/table" Target="../tables/table121.xml"/><Relationship Id="rId28" Type="http://schemas.openxmlformats.org/officeDocument/2006/relationships/table" Target="../tables/table126.xml"/><Relationship Id="rId36" Type="http://schemas.openxmlformats.org/officeDocument/2006/relationships/table" Target="../tables/table134.xml"/><Relationship Id="rId49" Type="http://schemas.openxmlformats.org/officeDocument/2006/relationships/table" Target="../tables/table147.xml"/><Relationship Id="rId10" Type="http://schemas.openxmlformats.org/officeDocument/2006/relationships/table" Target="../tables/table108.xml"/><Relationship Id="rId19" Type="http://schemas.openxmlformats.org/officeDocument/2006/relationships/table" Target="../tables/table117.xml"/><Relationship Id="rId31" Type="http://schemas.openxmlformats.org/officeDocument/2006/relationships/table" Target="../tables/table129.xml"/><Relationship Id="rId44" Type="http://schemas.openxmlformats.org/officeDocument/2006/relationships/table" Target="../tables/table142.xml"/><Relationship Id="rId52" Type="http://schemas.openxmlformats.org/officeDocument/2006/relationships/table" Target="../tables/table150.xml"/><Relationship Id="rId4" Type="http://schemas.openxmlformats.org/officeDocument/2006/relationships/table" Target="../tables/table102.xml"/><Relationship Id="rId9" Type="http://schemas.openxmlformats.org/officeDocument/2006/relationships/table" Target="../tables/table107.xml"/><Relationship Id="rId14" Type="http://schemas.openxmlformats.org/officeDocument/2006/relationships/table" Target="../tables/table112.xml"/><Relationship Id="rId22" Type="http://schemas.openxmlformats.org/officeDocument/2006/relationships/table" Target="../tables/table120.xml"/><Relationship Id="rId27" Type="http://schemas.openxmlformats.org/officeDocument/2006/relationships/table" Target="../tables/table125.xml"/><Relationship Id="rId30" Type="http://schemas.openxmlformats.org/officeDocument/2006/relationships/table" Target="../tables/table128.xml"/><Relationship Id="rId35" Type="http://schemas.openxmlformats.org/officeDocument/2006/relationships/table" Target="../tables/table133.xml"/><Relationship Id="rId43" Type="http://schemas.openxmlformats.org/officeDocument/2006/relationships/table" Target="../tables/table141.xml"/><Relationship Id="rId48" Type="http://schemas.openxmlformats.org/officeDocument/2006/relationships/table" Target="../tables/table146.xml"/><Relationship Id="rId8" Type="http://schemas.openxmlformats.org/officeDocument/2006/relationships/table" Target="../tables/table106.xml"/><Relationship Id="rId51" Type="http://schemas.openxmlformats.org/officeDocument/2006/relationships/table" Target="../tables/table149.xm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table" Target="../tables/table164.xml"/><Relationship Id="rId18" Type="http://schemas.openxmlformats.org/officeDocument/2006/relationships/table" Target="../tables/table169.xml"/><Relationship Id="rId26" Type="http://schemas.openxmlformats.org/officeDocument/2006/relationships/table" Target="../tables/table177.xml"/><Relationship Id="rId39" Type="http://schemas.openxmlformats.org/officeDocument/2006/relationships/table" Target="../tables/table190.xml"/><Relationship Id="rId3" Type="http://schemas.openxmlformats.org/officeDocument/2006/relationships/table" Target="../tables/table154.xml"/><Relationship Id="rId21" Type="http://schemas.openxmlformats.org/officeDocument/2006/relationships/table" Target="../tables/table172.xml"/><Relationship Id="rId34" Type="http://schemas.openxmlformats.org/officeDocument/2006/relationships/table" Target="../tables/table185.xml"/><Relationship Id="rId42" Type="http://schemas.openxmlformats.org/officeDocument/2006/relationships/table" Target="../tables/table193.xml"/><Relationship Id="rId47" Type="http://schemas.openxmlformats.org/officeDocument/2006/relationships/table" Target="../tables/table198.xml"/><Relationship Id="rId50" Type="http://schemas.openxmlformats.org/officeDocument/2006/relationships/table" Target="../tables/table201.xml"/><Relationship Id="rId7" Type="http://schemas.openxmlformats.org/officeDocument/2006/relationships/table" Target="../tables/table158.xml"/><Relationship Id="rId12" Type="http://schemas.openxmlformats.org/officeDocument/2006/relationships/table" Target="../tables/table163.xml"/><Relationship Id="rId17" Type="http://schemas.openxmlformats.org/officeDocument/2006/relationships/table" Target="../tables/table168.xml"/><Relationship Id="rId25" Type="http://schemas.openxmlformats.org/officeDocument/2006/relationships/table" Target="../tables/table176.xml"/><Relationship Id="rId33" Type="http://schemas.openxmlformats.org/officeDocument/2006/relationships/table" Target="../tables/table184.xml"/><Relationship Id="rId38" Type="http://schemas.openxmlformats.org/officeDocument/2006/relationships/table" Target="../tables/table189.xml"/><Relationship Id="rId46" Type="http://schemas.openxmlformats.org/officeDocument/2006/relationships/table" Target="../tables/table197.xml"/><Relationship Id="rId2" Type="http://schemas.openxmlformats.org/officeDocument/2006/relationships/table" Target="../tables/table153.xml"/><Relationship Id="rId16" Type="http://schemas.openxmlformats.org/officeDocument/2006/relationships/table" Target="../tables/table167.xml"/><Relationship Id="rId20" Type="http://schemas.openxmlformats.org/officeDocument/2006/relationships/table" Target="../tables/table171.xml"/><Relationship Id="rId29" Type="http://schemas.openxmlformats.org/officeDocument/2006/relationships/table" Target="../tables/table180.xml"/><Relationship Id="rId41" Type="http://schemas.openxmlformats.org/officeDocument/2006/relationships/table" Target="../tables/table192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57.xml"/><Relationship Id="rId11" Type="http://schemas.openxmlformats.org/officeDocument/2006/relationships/table" Target="../tables/table162.xml"/><Relationship Id="rId24" Type="http://schemas.openxmlformats.org/officeDocument/2006/relationships/table" Target="../tables/table175.xml"/><Relationship Id="rId32" Type="http://schemas.openxmlformats.org/officeDocument/2006/relationships/table" Target="../tables/table183.xml"/><Relationship Id="rId37" Type="http://schemas.openxmlformats.org/officeDocument/2006/relationships/table" Target="../tables/table188.xml"/><Relationship Id="rId40" Type="http://schemas.openxmlformats.org/officeDocument/2006/relationships/table" Target="../tables/table191.xml"/><Relationship Id="rId45" Type="http://schemas.openxmlformats.org/officeDocument/2006/relationships/table" Target="../tables/table196.xml"/><Relationship Id="rId5" Type="http://schemas.openxmlformats.org/officeDocument/2006/relationships/table" Target="../tables/table156.xml"/><Relationship Id="rId15" Type="http://schemas.openxmlformats.org/officeDocument/2006/relationships/table" Target="../tables/table166.xml"/><Relationship Id="rId23" Type="http://schemas.openxmlformats.org/officeDocument/2006/relationships/table" Target="../tables/table174.xml"/><Relationship Id="rId28" Type="http://schemas.openxmlformats.org/officeDocument/2006/relationships/table" Target="../tables/table179.xml"/><Relationship Id="rId36" Type="http://schemas.openxmlformats.org/officeDocument/2006/relationships/table" Target="../tables/table187.xml"/><Relationship Id="rId49" Type="http://schemas.openxmlformats.org/officeDocument/2006/relationships/table" Target="../tables/table200.xml"/><Relationship Id="rId10" Type="http://schemas.openxmlformats.org/officeDocument/2006/relationships/table" Target="../tables/table161.xml"/><Relationship Id="rId19" Type="http://schemas.openxmlformats.org/officeDocument/2006/relationships/table" Target="../tables/table170.xml"/><Relationship Id="rId31" Type="http://schemas.openxmlformats.org/officeDocument/2006/relationships/table" Target="../tables/table182.xml"/><Relationship Id="rId44" Type="http://schemas.openxmlformats.org/officeDocument/2006/relationships/table" Target="../tables/table195.xml"/><Relationship Id="rId4" Type="http://schemas.openxmlformats.org/officeDocument/2006/relationships/table" Target="../tables/table155.xml"/><Relationship Id="rId9" Type="http://schemas.openxmlformats.org/officeDocument/2006/relationships/table" Target="../tables/table160.xml"/><Relationship Id="rId14" Type="http://schemas.openxmlformats.org/officeDocument/2006/relationships/table" Target="../tables/table165.xml"/><Relationship Id="rId22" Type="http://schemas.openxmlformats.org/officeDocument/2006/relationships/table" Target="../tables/table173.xml"/><Relationship Id="rId27" Type="http://schemas.openxmlformats.org/officeDocument/2006/relationships/table" Target="../tables/table178.xml"/><Relationship Id="rId30" Type="http://schemas.openxmlformats.org/officeDocument/2006/relationships/table" Target="../tables/table181.xml"/><Relationship Id="rId35" Type="http://schemas.openxmlformats.org/officeDocument/2006/relationships/table" Target="../tables/table186.xml"/><Relationship Id="rId43" Type="http://schemas.openxmlformats.org/officeDocument/2006/relationships/table" Target="../tables/table194.xml"/><Relationship Id="rId48" Type="http://schemas.openxmlformats.org/officeDocument/2006/relationships/table" Target="../tables/table199.xml"/><Relationship Id="rId8" Type="http://schemas.openxmlformats.org/officeDocument/2006/relationships/table" Target="../tables/table159.xml"/><Relationship Id="rId51" Type="http://schemas.openxmlformats.org/officeDocument/2006/relationships/table" Target="../tables/table20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4.xml"/><Relationship Id="rId2" Type="http://schemas.openxmlformats.org/officeDocument/2006/relationships/table" Target="../tables/table203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207.xml"/><Relationship Id="rId5" Type="http://schemas.openxmlformats.org/officeDocument/2006/relationships/table" Target="../tables/table206.xml"/><Relationship Id="rId4" Type="http://schemas.openxmlformats.org/officeDocument/2006/relationships/table" Target="../tables/table205.xml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table" Target="../tables/table219.xml"/><Relationship Id="rId18" Type="http://schemas.openxmlformats.org/officeDocument/2006/relationships/table" Target="../tables/table224.xml"/><Relationship Id="rId26" Type="http://schemas.openxmlformats.org/officeDocument/2006/relationships/table" Target="../tables/table232.xml"/><Relationship Id="rId39" Type="http://schemas.openxmlformats.org/officeDocument/2006/relationships/table" Target="../tables/table245.xml"/><Relationship Id="rId3" Type="http://schemas.openxmlformats.org/officeDocument/2006/relationships/table" Target="../tables/table209.xml"/><Relationship Id="rId21" Type="http://schemas.openxmlformats.org/officeDocument/2006/relationships/table" Target="../tables/table227.xml"/><Relationship Id="rId34" Type="http://schemas.openxmlformats.org/officeDocument/2006/relationships/table" Target="../tables/table240.xml"/><Relationship Id="rId42" Type="http://schemas.openxmlformats.org/officeDocument/2006/relationships/table" Target="../tables/table248.xml"/><Relationship Id="rId47" Type="http://schemas.openxmlformats.org/officeDocument/2006/relationships/table" Target="../tables/table253.xml"/><Relationship Id="rId50" Type="http://schemas.openxmlformats.org/officeDocument/2006/relationships/table" Target="../tables/table256.xml"/><Relationship Id="rId7" Type="http://schemas.openxmlformats.org/officeDocument/2006/relationships/table" Target="../tables/table213.xml"/><Relationship Id="rId12" Type="http://schemas.openxmlformats.org/officeDocument/2006/relationships/table" Target="../tables/table218.xml"/><Relationship Id="rId17" Type="http://schemas.openxmlformats.org/officeDocument/2006/relationships/table" Target="../tables/table223.xml"/><Relationship Id="rId25" Type="http://schemas.openxmlformats.org/officeDocument/2006/relationships/table" Target="../tables/table231.xml"/><Relationship Id="rId33" Type="http://schemas.openxmlformats.org/officeDocument/2006/relationships/table" Target="../tables/table239.xml"/><Relationship Id="rId38" Type="http://schemas.openxmlformats.org/officeDocument/2006/relationships/table" Target="../tables/table244.xml"/><Relationship Id="rId46" Type="http://schemas.openxmlformats.org/officeDocument/2006/relationships/table" Target="../tables/table252.xml"/><Relationship Id="rId2" Type="http://schemas.openxmlformats.org/officeDocument/2006/relationships/table" Target="../tables/table208.xml"/><Relationship Id="rId16" Type="http://schemas.openxmlformats.org/officeDocument/2006/relationships/table" Target="../tables/table222.xml"/><Relationship Id="rId20" Type="http://schemas.openxmlformats.org/officeDocument/2006/relationships/table" Target="../tables/table226.xml"/><Relationship Id="rId29" Type="http://schemas.openxmlformats.org/officeDocument/2006/relationships/table" Target="../tables/table235.xml"/><Relationship Id="rId41" Type="http://schemas.openxmlformats.org/officeDocument/2006/relationships/table" Target="../tables/table247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212.xml"/><Relationship Id="rId11" Type="http://schemas.openxmlformats.org/officeDocument/2006/relationships/table" Target="../tables/table217.xml"/><Relationship Id="rId24" Type="http://schemas.openxmlformats.org/officeDocument/2006/relationships/table" Target="../tables/table230.xml"/><Relationship Id="rId32" Type="http://schemas.openxmlformats.org/officeDocument/2006/relationships/table" Target="../tables/table238.xml"/><Relationship Id="rId37" Type="http://schemas.openxmlformats.org/officeDocument/2006/relationships/table" Target="../tables/table243.xml"/><Relationship Id="rId40" Type="http://schemas.openxmlformats.org/officeDocument/2006/relationships/table" Target="../tables/table246.xml"/><Relationship Id="rId45" Type="http://schemas.openxmlformats.org/officeDocument/2006/relationships/table" Target="../tables/table251.xml"/><Relationship Id="rId53" Type="http://schemas.openxmlformats.org/officeDocument/2006/relationships/table" Target="../tables/table259.xml"/><Relationship Id="rId5" Type="http://schemas.openxmlformats.org/officeDocument/2006/relationships/table" Target="../tables/table211.xml"/><Relationship Id="rId15" Type="http://schemas.openxmlformats.org/officeDocument/2006/relationships/table" Target="../tables/table221.xml"/><Relationship Id="rId23" Type="http://schemas.openxmlformats.org/officeDocument/2006/relationships/table" Target="../tables/table229.xml"/><Relationship Id="rId28" Type="http://schemas.openxmlformats.org/officeDocument/2006/relationships/table" Target="../tables/table234.xml"/><Relationship Id="rId36" Type="http://schemas.openxmlformats.org/officeDocument/2006/relationships/table" Target="../tables/table242.xml"/><Relationship Id="rId49" Type="http://schemas.openxmlformats.org/officeDocument/2006/relationships/table" Target="../tables/table255.xml"/><Relationship Id="rId10" Type="http://schemas.openxmlformats.org/officeDocument/2006/relationships/table" Target="../tables/table216.xml"/><Relationship Id="rId19" Type="http://schemas.openxmlformats.org/officeDocument/2006/relationships/table" Target="../tables/table225.xml"/><Relationship Id="rId31" Type="http://schemas.openxmlformats.org/officeDocument/2006/relationships/table" Target="../tables/table237.xml"/><Relationship Id="rId44" Type="http://schemas.openxmlformats.org/officeDocument/2006/relationships/table" Target="../tables/table250.xml"/><Relationship Id="rId52" Type="http://schemas.openxmlformats.org/officeDocument/2006/relationships/table" Target="../tables/table258.xml"/><Relationship Id="rId4" Type="http://schemas.openxmlformats.org/officeDocument/2006/relationships/table" Target="../tables/table210.xml"/><Relationship Id="rId9" Type="http://schemas.openxmlformats.org/officeDocument/2006/relationships/table" Target="../tables/table215.xml"/><Relationship Id="rId14" Type="http://schemas.openxmlformats.org/officeDocument/2006/relationships/table" Target="../tables/table220.xml"/><Relationship Id="rId22" Type="http://schemas.openxmlformats.org/officeDocument/2006/relationships/table" Target="../tables/table228.xml"/><Relationship Id="rId27" Type="http://schemas.openxmlformats.org/officeDocument/2006/relationships/table" Target="../tables/table233.xml"/><Relationship Id="rId30" Type="http://schemas.openxmlformats.org/officeDocument/2006/relationships/table" Target="../tables/table236.xml"/><Relationship Id="rId35" Type="http://schemas.openxmlformats.org/officeDocument/2006/relationships/table" Target="../tables/table241.xml"/><Relationship Id="rId43" Type="http://schemas.openxmlformats.org/officeDocument/2006/relationships/table" Target="../tables/table249.xml"/><Relationship Id="rId48" Type="http://schemas.openxmlformats.org/officeDocument/2006/relationships/table" Target="../tables/table254.xml"/><Relationship Id="rId8" Type="http://schemas.openxmlformats.org/officeDocument/2006/relationships/table" Target="../tables/table214.xml"/><Relationship Id="rId51" Type="http://schemas.openxmlformats.org/officeDocument/2006/relationships/table" Target="../tables/table25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M28"/>
  <sheetViews>
    <sheetView workbookViewId="0">
      <selection activeCell="K15" sqref="K15"/>
    </sheetView>
  </sheetViews>
  <sheetFormatPr defaultRowHeight="14.4" x14ac:dyDescent="0.3"/>
  <cols>
    <col min="1" max="1" width="11.88671875" bestFit="1" customWidth="1"/>
    <col min="2" max="2" width="32.44140625" bestFit="1" customWidth="1"/>
    <col min="3" max="3" width="12.33203125" style="2" bestFit="1" customWidth="1"/>
    <col min="13" max="13" width="20.5546875" customWidth="1"/>
  </cols>
  <sheetData>
    <row r="2" spans="1:13" x14ac:dyDescent="0.3">
      <c r="M2" t="s">
        <v>1044</v>
      </c>
    </row>
    <row r="3" spans="1:13" x14ac:dyDescent="0.3">
      <c r="M3" t="str">
        <f>SUBSTITUTE(B7," ","")&amp;"P"</f>
        <v>GL350BlueTECEditionSP</v>
      </c>
    </row>
    <row r="4" spans="1:13" x14ac:dyDescent="0.3">
      <c r="M4" t="str">
        <f>SUBSTITUTE(B7," ","")&amp;"T"</f>
        <v>GL350BlueTECEditionST</v>
      </c>
    </row>
    <row r="5" spans="1:13" x14ac:dyDescent="0.3">
      <c r="A5" t="s">
        <v>979</v>
      </c>
      <c r="B5" t="s">
        <v>1</v>
      </c>
      <c r="M5" t="str">
        <f>SUBSTITUTE(B7," ","")&amp;"H"</f>
        <v>GL350BlueTECEditionSH</v>
      </c>
    </row>
    <row r="6" spans="1:13" x14ac:dyDescent="0.3">
      <c r="A6" t="s">
        <v>2</v>
      </c>
      <c r="B6" t="s">
        <v>1020</v>
      </c>
      <c r="M6" t="str">
        <f>SUBSTITUTE(B7," ","")&amp;"W"</f>
        <v>GL350BlueTECEditionSW</v>
      </c>
    </row>
    <row r="7" spans="1:13" x14ac:dyDescent="0.3">
      <c r="A7" t="s">
        <v>980</v>
      </c>
      <c r="B7" t="s">
        <v>1059</v>
      </c>
      <c r="M7" t="str">
        <f>SUBSTITUTE(B7," ","")&amp;"O"</f>
        <v>GL350BlueTECEditionSO</v>
      </c>
    </row>
    <row r="8" spans="1:13" x14ac:dyDescent="0.3">
      <c r="A8" t="s">
        <v>4</v>
      </c>
      <c r="B8" t="s">
        <v>9</v>
      </c>
    </row>
    <row r="10" spans="1:13" x14ac:dyDescent="0.3">
      <c r="A10" t="s">
        <v>1046</v>
      </c>
      <c r="C10" s="2">
        <f>VLOOKUP(B7,Sheet1!C2:D71,2,FALSE)</f>
        <v>107318</v>
      </c>
    </row>
    <row r="11" spans="1:13" x14ac:dyDescent="0.3">
      <c r="A11" t="s">
        <v>981</v>
      </c>
    </row>
    <row r="12" spans="1:13" x14ac:dyDescent="0.3">
      <c r="A12" t="s">
        <v>982</v>
      </c>
    </row>
    <row r="13" spans="1:13" x14ac:dyDescent="0.3">
      <c r="A13" t="s">
        <v>983</v>
      </c>
    </row>
    <row r="14" spans="1:13" x14ac:dyDescent="0.3">
      <c r="A14" t="s">
        <v>984</v>
      </c>
    </row>
    <row r="15" spans="1:13" x14ac:dyDescent="0.3">
      <c r="A15" t="s">
        <v>985</v>
      </c>
    </row>
    <row r="17" spans="1:3" x14ac:dyDescent="0.3">
      <c r="A17" t="s">
        <v>986</v>
      </c>
      <c r="B17" t="s">
        <v>20</v>
      </c>
      <c r="C17" s="2">
        <f>LookupPrice($B$7,B17)</f>
        <v>-9</v>
      </c>
    </row>
    <row r="18" spans="1:3" x14ac:dyDescent="0.3">
      <c r="A18" t="s">
        <v>987</v>
      </c>
    </row>
    <row r="19" spans="1:3" x14ac:dyDescent="0.3">
      <c r="A19" t="s">
        <v>988</v>
      </c>
    </row>
    <row r="20" spans="1:3" x14ac:dyDescent="0.3">
      <c r="A20" t="s">
        <v>989</v>
      </c>
    </row>
    <row r="21" spans="1:3" x14ac:dyDescent="0.3">
      <c r="A21" t="s">
        <v>990</v>
      </c>
    </row>
    <row r="22" spans="1:3" x14ac:dyDescent="0.3">
      <c r="A22" t="s">
        <v>991</v>
      </c>
    </row>
    <row r="23" spans="1:3" x14ac:dyDescent="0.3">
      <c r="A23" t="s">
        <v>992</v>
      </c>
    </row>
    <row r="24" spans="1:3" x14ac:dyDescent="0.3">
      <c r="A24" t="s">
        <v>993</v>
      </c>
    </row>
    <row r="25" spans="1:3" x14ac:dyDescent="0.3">
      <c r="A25" t="s">
        <v>994</v>
      </c>
    </row>
    <row r="26" spans="1:3" x14ac:dyDescent="0.3">
      <c r="A26" t="s">
        <v>995</v>
      </c>
    </row>
    <row r="27" spans="1:3" x14ac:dyDescent="0.3">
      <c r="A27" t="s">
        <v>996</v>
      </c>
    </row>
    <row r="28" spans="1:3" x14ac:dyDescent="0.3">
      <c r="A28" t="s">
        <v>997</v>
      </c>
    </row>
  </sheetData>
  <dataValidations count="2">
    <dataValidation type="list" allowBlank="1" showInputMessage="1" showErrorMessage="1" sqref="B7">
      <formula1>INDIRECT(VLOOKUP($B$6,ModelLookup,2,0)&amp;"List")</formula1>
    </dataValidation>
    <dataValidation type="list" allowBlank="1" showInputMessage="1" showErrorMessage="1" sqref="B18:C18 B17 B19:B28">
      <formula1>INDIRECT($M$7)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Sheet1!$A$2</xm:f>
          </x14:formula1>
          <xm:sqref>B5</xm:sqref>
        </x14:dataValidation>
        <x14:dataValidation type="list" allowBlank="1" showInputMessage="1" showErrorMessage="1">
          <x14:formula1>
            <xm:f>Sheet1!$A$77:$A$92</xm:f>
          </x14:formula1>
          <xm:sqref>B6</xm:sqref>
        </x14:dataValidation>
        <x14:dataValidation type="list" allowBlank="1" showInputMessage="1" showErrorMessage="1">
          <x14:formula1>
            <xm:f>Sheet1!$E$2:$E$3</xm:f>
          </x14:formula1>
          <xm:sqref>B8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92"/>
  <sheetViews>
    <sheetView topLeftCell="A46" workbookViewId="0">
      <selection activeCell="C51" sqref="C51"/>
    </sheetView>
  </sheetViews>
  <sheetFormatPr defaultRowHeight="14.4" x14ac:dyDescent="0.3"/>
  <cols>
    <col min="1" max="1" width="26.5546875" customWidth="1"/>
    <col min="2" max="2" width="23.109375" bestFit="1" customWidth="1"/>
    <col min="3" max="3" width="27.5546875" bestFit="1" customWidth="1"/>
    <col min="4" max="4" width="11" bestFit="1" customWidth="1"/>
    <col min="5" max="5" width="11.5546875" bestFit="1" customWidth="1"/>
    <col min="6" max="6" width="41.44140625" bestFit="1" customWidth="1"/>
    <col min="7" max="7" width="20.44140625" customWidth="1"/>
    <col min="8" max="8" width="19.44140625" customWidth="1"/>
    <col min="9" max="9" width="32.44140625" bestFit="1" customWidth="1"/>
    <col min="10" max="10" width="23.109375" bestFit="1" customWidth="1"/>
    <col min="11" max="11" width="27.5546875" bestFit="1" customWidth="1"/>
    <col min="12" max="12" width="18.109375" bestFit="1" customWidth="1"/>
    <col min="13" max="13" width="19.88671875" bestFit="1" customWidth="1"/>
    <col min="14" max="14" width="24.44140625" bestFit="1" customWidth="1"/>
  </cols>
  <sheetData>
    <row r="1" spans="1:14" x14ac:dyDescent="0.3">
      <c r="A1" t="s">
        <v>0</v>
      </c>
      <c r="B1" t="s">
        <v>2</v>
      </c>
      <c r="C1" t="s">
        <v>3</v>
      </c>
      <c r="D1" t="s">
        <v>7</v>
      </c>
      <c r="E1" t="s">
        <v>4</v>
      </c>
      <c r="F1" t="s">
        <v>8</v>
      </c>
    </row>
    <row r="2" spans="1:14" x14ac:dyDescent="0.3">
      <c r="A2" t="s">
        <v>1</v>
      </c>
      <c r="B2" t="s">
        <v>5</v>
      </c>
      <c r="C2" t="s">
        <v>998</v>
      </c>
      <c r="D2" s="1">
        <v>76267</v>
      </c>
      <c r="E2" t="s">
        <v>9</v>
      </c>
      <c r="F2" t="s">
        <v>11</v>
      </c>
      <c r="G2" s="2"/>
      <c r="H2" s="2"/>
      <c r="I2" s="2"/>
      <c r="K2" s="2"/>
      <c r="L2" s="2"/>
      <c r="M2" s="2"/>
    </row>
    <row r="3" spans="1:14" x14ac:dyDescent="0.3">
      <c r="A3" t="s">
        <v>1</v>
      </c>
      <c r="C3" t="s">
        <v>999</v>
      </c>
      <c r="D3" s="1">
        <v>82736</v>
      </c>
      <c r="E3" t="s">
        <v>10</v>
      </c>
      <c r="F3" t="s">
        <v>12</v>
      </c>
      <c r="G3" s="2"/>
      <c r="H3" s="2"/>
      <c r="I3" s="2"/>
      <c r="K3" s="2"/>
      <c r="L3" s="2"/>
    </row>
    <row r="4" spans="1:14" x14ac:dyDescent="0.3">
      <c r="A4" t="s">
        <v>1</v>
      </c>
      <c r="C4" t="s">
        <v>1000</v>
      </c>
      <c r="D4" s="1">
        <v>99961</v>
      </c>
      <c r="F4" t="s">
        <v>13</v>
      </c>
      <c r="G4" s="2"/>
      <c r="H4" s="2"/>
      <c r="K4" s="2"/>
      <c r="L4" s="2"/>
    </row>
    <row r="5" spans="1:14" x14ac:dyDescent="0.3">
      <c r="A5" t="s">
        <v>1</v>
      </c>
      <c r="C5" t="s">
        <v>1001</v>
      </c>
      <c r="D5" s="1">
        <v>125661</v>
      </c>
      <c r="F5" t="s">
        <v>14</v>
      </c>
      <c r="J5" s="2"/>
      <c r="N5" s="2"/>
    </row>
    <row r="6" spans="1:14" x14ac:dyDescent="0.3">
      <c r="A6" t="s">
        <v>1</v>
      </c>
      <c r="B6" t="s">
        <v>109</v>
      </c>
      <c r="C6" t="s">
        <v>1002</v>
      </c>
      <c r="D6" s="1">
        <v>43909</v>
      </c>
      <c r="F6" t="s">
        <v>110</v>
      </c>
    </row>
    <row r="7" spans="1:14" x14ac:dyDescent="0.3">
      <c r="A7" t="s">
        <v>1</v>
      </c>
      <c r="C7" t="s">
        <v>1003</v>
      </c>
      <c r="D7" s="1">
        <v>53273</v>
      </c>
      <c r="F7" t="s">
        <v>111</v>
      </c>
    </row>
    <row r="8" spans="1:14" x14ac:dyDescent="0.3">
      <c r="A8" t="s">
        <v>1</v>
      </c>
      <c r="C8" t="s">
        <v>1004</v>
      </c>
      <c r="D8" s="1">
        <v>69227</v>
      </c>
      <c r="F8" t="s">
        <v>112</v>
      </c>
    </row>
    <row r="9" spans="1:14" x14ac:dyDescent="0.3">
      <c r="A9" t="s">
        <v>1</v>
      </c>
      <c r="B9" t="s">
        <v>171</v>
      </c>
      <c r="C9" t="s">
        <v>1005</v>
      </c>
      <c r="D9" s="1">
        <v>117409</v>
      </c>
      <c r="F9" t="s">
        <v>172</v>
      </c>
    </row>
    <row r="10" spans="1:14" x14ac:dyDescent="0.3">
      <c r="A10" t="s">
        <v>1</v>
      </c>
      <c r="C10" t="s">
        <v>1006</v>
      </c>
      <c r="D10" s="1">
        <v>129052</v>
      </c>
      <c r="F10" t="s">
        <v>173</v>
      </c>
    </row>
    <row r="11" spans="1:14" x14ac:dyDescent="0.3">
      <c r="A11" t="s">
        <v>1</v>
      </c>
      <c r="C11" t="s">
        <v>1007</v>
      </c>
      <c r="D11" s="1">
        <v>175031</v>
      </c>
      <c r="F11" t="s">
        <v>174</v>
      </c>
    </row>
    <row r="12" spans="1:14" x14ac:dyDescent="0.3">
      <c r="A12" t="s">
        <v>1</v>
      </c>
      <c r="B12" t="s">
        <v>233</v>
      </c>
      <c r="C12" t="s">
        <v>1008</v>
      </c>
      <c r="D12" s="1">
        <v>46273</v>
      </c>
      <c r="F12" t="s">
        <v>234</v>
      </c>
    </row>
    <row r="13" spans="1:14" x14ac:dyDescent="0.3">
      <c r="A13" t="s">
        <v>1</v>
      </c>
      <c r="C13" t="s">
        <v>1009</v>
      </c>
      <c r="D13" s="1">
        <v>46727</v>
      </c>
      <c r="F13" t="s">
        <v>235</v>
      </c>
    </row>
    <row r="14" spans="1:14" x14ac:dyDescent="0.3">
      <c r="A14" t="s">
        <v>1</v>
      </c>
      <c r="C14" t="s">
        <v>1010</v>
      </c>
      <c r="D14" s="1">
        <v>59000</v>
      </c>
      <c r="F14" t="s">
        <v>236</v>
      </c>
    </row>
    <row r="15" spans="1:14" x14ac:dyDescent="0.3">
      <c r="A15" t="s">
        <v>1</v>
      </c>
      <c r="C15" t="s">
        <v>1011</v>
      </c>
      <c r="D15" s="1">
        <v>77631</v>
      </c>
      <c r="F15" t="s">
        <v>111</v>
      </c>
    </row>
    <row r="16" spans="1:14" x14ac:dyDescent="0.3">
      <c r="A16" t="s">
        <v>1</v>
      </c>
      <c r="B16" t="s">
        <v>286</v>
      </c>
      <c r="C16" t="s">
        <v>1012</v>
      </c>
      <c r="D16" s="1">
        <v>32636</v>
      </c>
      <c r="F16" t="s">
        <v>291</v>
      </c>
    </row>
    <row r="17" spans="1:6" x14ac:dyDescent="0.3">
      <c r="A17" t="s">
        <v>1</v>
      </c>
      <c r="C17" t="s">
        <v>287</v>
      </c>
      <c r="D17" s="1">
        <v>38000</v>
      </c>
      <c r="F17" t="s">
        <v>292</v>
      </c>
    </row>
    <row r="18" spans="1:6" x14ac:dyDescent="0.3">
      <c r="A18" t="s">
        <v>1</v>
      </c>
      <c r="C18" t="s">
        <v>288</v>
      </c>
      <c r="D18" s="1">
        <v>38455</v>
      </c>
      <c r="F18" t="s">
        <v>293</v>
      </c>
    </row>
    <row r="19" spans="1:6" x14ac:dyDescent="0.3">
      <c r="A19" t="s">
        <v>1</v>
      </c>
      <c r="C19" t="s">
        <v>289</v>
      </c>
      <c r="D19" s="1">
        <v>46364</v>
      </c>
      <c r="F19" t="s">
        <v>236</v>
      </c>
    </row>
    <row r="20" spans="1:6" x14ac:dyDescent="0.3">
      <c r="A20" t="s">
        <v>1</v>
      </c>
      <c r="C20" t="s">
        <v>290</v>
      </c>
      <c r="D20" s="1">
        <v>68750</v>
      </c>
      <c r="F20" t="s">
        <v>294</v>
      </c>
    </row>
    <row r="21" spans="1:6" x14ac:dyDescent="0.3">
      <c r="A21" t="s">
        <v>1</v>
      </c>
      <c r="B21" t="s">
        <v>337</v>
      </c>
      <c r="C21" t="s">
        <v>338</v>
      </c>
      <c r="D21" s="1">
        <v>75603</v>
      </c>
      <c r="F21" t="s">
        <v>339</v>
      </c>
    </row>
    <row r="22" spans="1:6" x14ac:dyDescent="0.3">
      <c r="A22" t="s">
        <v>1</v>
      </c>
      <c r="B22" t="s">
        <v>362</v>
      </c>
      <c r="C22" t="s">
        <v>363</v>
      </c>
      <c r="D22" s="1">
        <v>173123</v>
      </c>
      <c r="F22" t="s">
        <v>367</v>
      </c>
    </row>
    <row r="23" spans="1:6" x14ac:dyDescent="0.3">
      <c r="A23" t="s">
        <v>1</v>
      </c>
      <c r="C23" t="s">
        <v>364</v>
      </c>
      <c r="D23" s="1">
        <v>231164</v>
      </c>
      <c r="F23" t="s">
        <v>368</v>
      </c>
    </row>
    <row r="24" spans="1:6" x14ac:dyDescent="0.3">
      <c r="A24" t="s">
        <v>1</v>
      </c>
      <c r="C24" t="s">
        <v>365</v>
      </c>
      <c r="D24" s="1">
        <v>292004</v>
      </c>
      <c r="F24" t="s">
        <v>369</v>
      </c>
    </row>
    <row r="25" spans="1:6" x14ac:dyDescent="0.3">
      <c r="A25" t="s">
        <v>1</v>
      </c>
      <c r="C25" t="s">
        <v>366</v>
      </c>
      <c r="D25" s="1">
        <v>349346</v>
      </c>
      <c r="F25" t="s">
        <v>370</v>
      </c>
    </row>
    <row r="26" spans="1:6" x14ac:dyDescent="0.3">
      <c r="A26" t="s">
        <v>1</v>
      </c>
      <c r="B26" t="s">
        <v>456</v>
      </c>
      <c r="C26" t="s">
        <v>457</v>
      </c>
      <c r="D26" s="1">
        <v>153225</v>
      </c>
      <c r="F26" t="s">
        <v>459</v>
      </c>
    </row>
    <row r="27" spans="1:6" x14ac:dyDescent="0.3">
      <c r="A27" t="s">
        <v>1</v>
      </c>
      <c r="C27" t="s">
        <v>458</v>
      </c>
      <c r="D27" s="1">
        <v>167351</v>
      </c>
      <c r="F27" t="s">
        <v>460</v>
      </c>
    </row>
    <row r="28" spans="1:6" x14ac:dyDescent="0.3">
      <c r="A28" t="s">
        <v>1</v>
      </c>
      <c r="C28" t="s">
        <v>1039</v>
      </c>
      <c r="D28" s="1">
        <v>213402</v>
      </c>
      <c r="F28" t="s">
        <v>461</v>
      </c>
    </row>
    <row r="29" spans="1:6" x14ac:dyDescent="0.3">
      <c r="A29" t="s">
        <v>1</v>
      </c>
      <c r="C29" t="s">
        <v>1041</v>
      </c>
      <c r="D29" s="1">
        <v>283822</v>
      </c>
      <c r="F29" t="s">
        <v>369</v>
      </c>
    </row>
    <row r="30" spans="1:6" x14ac:dyDescent="0.3">
      <c r="A30" t="s">
        <v>1</v>
      </c>
      <c r="C30" t="s">
        <v>463</v>
      </c>
      <c r="D30" s="1">
        <v>172596</v>
      </c>
      <c r="F30" t="s">
        <v>460</v>
      </c>
    </row>
    <row r="31" spans="1:6" x14ac:dyDescent="0.3">
      <c r="A31" t="s">
        <v>1</v>
      </c>
      <c r="C31" t="s">
        <v>464</v>
      </c>
      <c r="D31" s="1">
        <v>174731</v>
      </c>
      <c r="F31" t="s">
        <v>469</v>
      </c>
    </row>
    <row r="32" spans="1:6" x14ac:dyDescent="0.3">
      <c r="A32" t="s">
        <v>1</v>
      </c>
      <c r="C32" t="s">
        <v>465</v>
      </c>
      <c r="D32" s="1">
        <v>231025</v>
      </c>
      <c r="F32" t="s">
        <v>461</v>
      </c>
    </row>
    <row r="33" spans="1:6" x14ac:dyDescent="0.3">
      <c r="A33" t="s">
        <v>1</v>
      </c>
      <c r="C33" t="s">
        <v>466</v>
      </c>
      <c r="D33" s="1">
        <v>292633</v>
      </c>
      <c r="F33" t="s">
        <v>470</v>
      </c>
    </row>
    <row r="34" spans="1:6" x14ac:dyDescent="0.3">
      <c r="A34" t="s">
        <v>1</v>
      </c>
      <c r="C34" t="s">
        <v>467</v>
      </c>
      <c r="D34" s="1">
        <v>304941</v>
      </c>
      <c r="F34" t="s">
        <v>471</v>
      </c>
    </row>
    <row r="35" spans="1:6" x14ac:dyDescent="0.3">
      <c r="A35" t="s">
        <v>1</v>
      </c>
      <c r="C35" t="s">
        <v>468</v>
      </c>
      <c r="D35" s="1">
        <v>355640</v>
      </c>
      <c r="F35" t="s">
        <v>472</v>
      </c>
    </row>
    <row r="36" spans="1:6" x14ac:dyDescent="0.3">
      <c r="A36" t="s">
        <v>1</v>
      </c>
      <c r="B36" t="s">
        <v>613</v>
      </c>
      <c r="C36" t="s">
        <v>1040</v>
      </c>
      <c r="D36" s="1">
        <v>236060</v>
      </c>
      <c r="F36" t="s">
        <v>615</v>
      </c>
    </row>
    <row r="37" spans="1:6" x14ac:dyDescent="0.3">
      <c r="C37" t="s">
        <v>1042</v>
      </c>
      <c r="D37" s="1">
        <v>298997</v>
      </c>
      <c r="F37" t="s">
        <v>369</v>
      </c>
    </row>
    <row r="38" spans="1:6" x14ac:dyDescent="0.3">
      <c r="C38" t="s">
        <v>614</v>
      </c>
      <c r="D38" s="1">
        <v>361934</v>
      </c>
      <c r="F38" t="s">
        <v>616</v>
      </c>
    </row>
    <row r="39" spans="1:6" x14ac:dyDescent="0.3">
      <c r="B39" t="s">
        <v>636</v>
      </c>
      <c r="C39" t="s">
        <v>1057</v>
      </c>
      <c r="D39" s="1">
        <v>93332</v>
      </c>
      <c r="F39" t="s">
        <v>638</v>
      </c>
    </row>
    <row r="40" spans="1:6" x14ac:dyDescent="0.3">
      <c r="C40" t="s">
        <v>1059</v>
      </c>
      <c r="D40" s="1">
        <v>107318</v>
      </c>
      <c r="F40" t="s">
        <v>638</v>
      </c>
    </row>
    <row r="41" spans="1:6" x14ac:dyDescent="0.3">
      <c r="C41" t="s">
        <v>1058</v>
      </c>
      <c r="D41" s="1">
        <v>124801</v>
      </c>
      <c r="F41" t="s">
        <v>639</v>
      </c>
    </row>
    <row r="42" spans="1:6" x14ac:dyDescent="0.3">
      <c r="C42" t="s">
        <v>637</v>
      </c>
      <c r="D42" s="1">
        <v>163282</v>
      </c>
      <c r="F42" t="s">
        <v>640</v>
      </c>
    </row>
    <row r="43" spans="1:6" x14ac:dyDescent="0.3">
      <c r="B43" t="s">
        <v>692</v>
      </c>
      <c r="C43" t="s">
        <v>693</v>
      </c>
      <c r="D43" s="1">
        <v>72036</v>
      </c>
      <c r="F43" t="s">
        <v>700</v>
      </c>
    </row>
    <row r="44" spans="1:6" x14ac:dyDescent="0.3">
      <c r="C44" t="s">
        <v>694</v>
      </c>
      <c r="D44" s="1">
        <v>73784</v>
      </c>
      <c r="F44" t="s">
        <v>701</v>
      </c>
    </row>
    <row r="45" spans="1:6" x14ac:dyDescent="0.3">
      <c r="C45" t="s">
        <v>695</v>
      </c>
      <c r="D45" s="1">
        <v>83575</v>
      </c>
      <c r="F45" t="s">
        <v>700</v>
      </c>
    </row>
    <row r="46" spans="1:6" x14ac:dyDescent="0.3">
      <c r="C46" t="s">
        <v>696</v>
      </c>
      <c r="D46" s="1">
        <v>85323</v>
      </c>
      <c r="F46" t="s">
        <v>701</v>
      </c>
    </row>
    <row r="47" spans="1:6" x14ac:dyDescent="0.3">
      <c r="C47" t="s">
        <v>697</v>
      </c>
      <c r="D47" s="1">
        <v>92315</v>
      </c>
      <c r="F47" t="s">
        <v>702</v>
      </c>
    </row>
    <row r="48" spans="1:6" x14ac:dyDescent="0.3">
      <c r="C48" t="s">
        <v>698</v>
      </c>
      <c r="D48" s="1">
        <v>103493</v>
      </c>
      <c r="F48" t="s">
        <v>112</v>
      </c>
    </row>
    <row r="49" spans="2:6" x14ac:dyDescent="0.3">
      <c r="C49" t="s">
        <v>1061</v>
      </c>
      <c r="D49" s="1">
        <v>117409</v>
      </c>
      <c r="F49" t="s">
        <v>112</v>
      </c>
    </row>
    <row r="50" spans="2:6" x14ac:dyDescent="0.3">
      <c r="C50" t="s">
        <v>699</v>
      </c>
      <c r="D50" s="1">
        <v>188458</v>
      </c>
      <c r="F50" t="s">
        <v>703</v>
      </c>
    </row>
    <row r="51" spans="2:6" x14ac:dyDescent="0.3">
      <c r="B51" t="s">
        <v>790</v>
      </c>
      <c r="C51" t="s">
        <v>791</v>
      </c>
      <c r="D51" s="1">
        <v>96163</v>
      </c>
      <c r="F51" t="s">
        <v>795</v>
      </c>
    </row>
    <row r="52" spans="2:6" x14ac:dyDescent="0.3">
      <c r="C52" t="s">
        <v>792</v>
      </c>
      <c r="D52" s="1">
        <v>110814</v>
      </c>
      <c r="F52" t="s">
        <v>367</v>
      </c>
    </row>
    <row r="53" spans="2:6" x14ac:dyDescent="0.3">
      <c r="C53" t="s">
        <v>793</v>
      </c>
      <c r="D53" s="1">
        <v>131794</v>
      </c>
      <c r="F53" t="s">
        <v>615</v>
      </c>
    </row>
    <row r="54" spans="2:6" x14ac:dyDescent="0.3">
      <c r="C54" t="s">
        <v>794</v>
      </c>
      <c r="D54" s="1">
        <v>187738</v>
      </c>
      <c r="F54" t="s">
        <v>703</v>
      </c>
    </row>
    <row r="55" spans="2:6" x14ac:dyDescent="0.3">
      <c r="B55" t="s">
        <v>850</v>
      </c>
      <c r="C55" t="s">
        <v>1043</v>
      </c>
      <c r="D55" s="1">
        <v>103155</v>
      </c>
      <c r="F55" t="s">
        <v>851</v>
      </c>
    </row>
    <row r="56" spans="2:6" x14ac:dyDescent="0.3">
      <c r="C56" t="s">
        <v>858</v>
      </c>
      <c r="D56" s="1">
        <v>138786</v>
      </c>
      <c r="F56" t="s">
        <v>852</v>
      </c>
    </row>
    <row r="57" spans="2:6" x14ac:dyDescent="0.3">
      <c r="B57" t="s">
        <v>859</v>
      </c>
      <c r="C57" t="s">
        <v>860</v>
      </c>
      <c r="D57" s="1">
        <v>55364</v>
      </c>
      <c r="F57" t="s">
        <v>460</v>
      </c>
    </row>
    <row r="58" spans="2:6" x14ac:dyDescent="0.3">
      <c r="C58" t="s">
        <v>861</v>
      </c>
      <c r="D58" s="1">
        <v>56727</v>
      </c>
      <c r="F58" t="s">
        <v>110</v>
      </c>
    </row>
    <row r="59" spans="2:6" x14ac:dyDescent="0.3">
      <c r="C59" t="s">
        <v>862</v>
      </c>
      <c r="D59" s="1">
        <v>62636</v>
      </c>
      <c r="F59" t="s">
        <v>460</v>
      </c>
    </row>
    <row r="60" spans="2:6" x14ac:dyDescent="0.3">
      <c r="C60" t="s">
        <v>863</v>
      </c>
      <c r="D60" s="1">
        <v>64000</v>
      </c>
      <c r="F60" t="s">
        <v>459</v>
      </c>
    </row>
    <row r="61" spans="2:6" x14ac:dyDescent="0.3">
      <c r="C61" t="s">
        <v>864</v>
      </c>
      <c r="D61" s="1">
        <v>68091</v>
      </c>
      <c r="F61" t="s">
        <v>293</v>
      </c>
    </row>
    <row r="62" spans="2:6" x14ac:dyDescent="0.3">
      <c r="C62" t="s">
        <v>865</v>
      </c>
      <c r="D62" s="1">
        <v>121304</v>
      </c>
      <c r="F62" t="s">
        <v>615</v>
      </c>
    </row>
    <row r="63" spans="2:6" x14ac:dyDescent="0.3">
      <c r="C63" t="s">
        <v>866</v>
      </c>
      <c r="D63" s="1">
        <v>57636</v>
      </c>
      <c r="F63" t="s">
        <v>871</v>
      </c>
    </row>
    <row r="64" spans="2:6" x14ac:dyDescent="0.3">
      <c r="C64" t="s">
        <v>867</v>
      </c>
      <c r="D64" s="1">
        <v>59000</v>
      </c>
      <c r="F64" t="s">
        <v>872</v>
      </c>
    </row>
    <row r="65" spans="1:6" x14ac:dyDescent="0.3">
      <c r="C65" t="s">
        <v>868</v>
      </c>
      <c r="D65" s="1">
        <v>64909</v>
      </c>
      <c r="F65" t="s">
        <v>871</v>
      </c>
    </row>
    <row r="66" spans="1:6" x14ac:dyDescent="0.3">
      <c r="C66" t="s">
        <v>869</v>
      </c>
      <c r="D66" s="1">
        <v>66273</v>
      </c>
      <c r="F66" t="s">
        <v>873</v>
      </c>
    </row>
    <row r="67" spans="1:6" x14ac:dyDescent="0.3">
      <c r="C67" t="s">
        <v>870</v>
      </c>
      <c r="D67" s="1">
        <v>123053</v>
      </c>
      <c r="F67" t="s">
        <v>874</v>
      </c>
    </row>
    <row r="68" spans="1:6" x14ac:dyDescent="0.3">
      <c r="B68" t="s">
        <v>925</v>
      </c>
      <c r="C68" t="s">
        <v>926</v>
      </c>
      <c r="D68" s="1">
        <v>37636</v>
      </c>
      <c r="F68" t="s">
        <v>930</v>
      </c>
    </row>
    <row r="69" spans="1:6" x14ac:dyDescent="0.3">
      <c r="C69" t="s">
        <v>927</v>
      </c>
      <c r="D69" s="1">
        <v>43091</v>
      </c>
      <c r="F69" t="s">
        <v>930</v>
      </c>
    </row>
    <row r="70" spans="1:6" x14ac:dyDescent="0.3">
      <c r="C70" t="s">
        <v>928</v>
      </c>
      <c r="D70" s="1">
        <v>43545</v>
      </c>
      <c r="F70" t="s">
        <v>235</v>
      </c>
    </row>
    <row r="71" spans="1:6" x14ac:dyDescent="0.3">
      <c r="C71" t="s">
        <v>929</v>
      </c>
      <c r="D71" s="1">
        <v>49273</v>
      </c>
      <c r="F71" t="s">
        <v>931</v>
      </c>
    </row>
    <row r="76" spans="1:6" x14ac:dyDescent="0.3">
      <c r="A76" t="s">
        <v>2</v>
      </c>
    </row>
    <row r="77" spans="1:6" x14ac:dyDescent="0.3">
      <c r="A77" t="s">
        <v>1013</v>
      </c>
      <c r="B77" t="s">
        <v>1028</v>
      </c>
    </row>
    <row r="78" spans="1:6" x14ac:dyDescent="0.3">
      <c r="A78" t="s">
        <v>109</v>
      </c>
      <c r="B78" t="s">
        <v>1029</v>
      </c>
    </row>
    <row r="79" spans="1:6" x14ac:dyDescent="0.3">
      <c r="A79" t="s">
        <v>171</v>
      </c>
      <c r="B79" t="s">
        <v>1038</v>
      </c>
    </row>
    <row r="80" spans="1:6" x14ac:dyDescent="0.3">
      <c r="A80" t="s">
        <v>233</v>
      </c>
      <c r="B80" t="s">
        <v>1030</v>
      </c>
    </row>
    <row r="81" spans="1:2" x14ac:dyDescent="0.3">
      <c r="A81" t="s">
        <v>286</v>
      </c>
      <c r="B81" t="s">
        <v>1031</v>
      </c>
    </row>
    <row r="82" spans="1:2" x14ac:dyDescent="0.3">
      <c r="A82" t="s">
        <v>337</v>
      </c>
      <c r="B82" t="s">
        <v>1033</v>
      </c>
    </row>
    <row r="83" spans="1:2" x14ac:dyDescent="0.3">
      <c r="A83" t="s">
        <v>1014</v>
      </c>
      <c r="B83" t="s">
        <v>1032</v>
      </c>
    </row>
    <row r="84" spans="1:2" x14ac:dyDescent="0.3">
      <c r="A84" t="s">
        <v>1015</v>
      </c>
      <c r="B84" t="s">
        <v>1034</v>
      </c>
    </row>
    <row r="85" spans="1:2" x14ac:dyDescent="0.3">
      <c r="A85" t="s">
        <v>1016</v>
      </c>
      <c r="B85" t="s">
        <v>1035</v>
      </c>
    </row>
    <row r="86" spans="1:2" x14ac:dyDescent="0.3">
      <c r="A86" t="s">
        <v>1020</v>
      </c>
      <c r="B86" t="s">
        <v>1036</v>
      </c>
    </row>
    <row r="87" spans="1:2" x14ac:dyDescent="0.3">
      <c r="A87" t="s">
        <v>1021</v>
      </c>
      <c r="B87" t="s">
        <v>1037</v>
      </c>
    </row>
    <row r="88" spans="1:2" x14ac:dyDescent="0.3">
      <c r="A88" t="s">
        <v>790</v>
      </c>
      <c r="B88" t="s">
        <v>1023</v>
      </c>
    </row>
    <row r="89" spans="1:2" x14ac:dyDescent="0.3">
      <c r="A89" t="s">
        <v>1017</v>
      </c>
      <c r="B89" t="s">
        <v>1024</v>
      </c>
    </row>
    <row r="90" spans="1:2" x14ac:dyDescent="0.3">
      <c r="A90" t="s">
        <v>1018</v>
      </c>
      <c r="B90" t="s">
        <v>1025</v>
      </c>
    </row>
    <row r="91" spans="1:2" x14ac:dyDescent="0.3">
      <c r="A91" t="s">
        <v>1019</v>
      </c>
      <c r="B91" t="s">
        <v>1026</v>
      </c>
    </row>
    <row r="92" spans="1:2" x14ac:dyDescent="0.3">
      <c r="A92" t="s">
        <v>1022</v>
      </c>
      <c r="B92" t="s">
        <v>1027</v>
      </c>
    </row>
  </sheetData>
  <autoFilter ref="A1:F7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255"/>
  <sheetViews>
    <sheetView tabSelected="1" topLeftCell="A226" workbookViewId="0">
      <selection activeCell="D235" sqref="D235:D243"/>
    </sheetView>
  </sheetViews>
  <sheetFormatPr defaultRowHeight="14.4" x14ac:dyDescent="0.3"/>
  <cols>
    <col min="1" max="1" width="49.44140625" bestFit="1" customWidth="1"/>
    <col min="2" max="2" width="11.44140625" style="2" bestFit="1" customWidth="1"/>
    <col min="4" max="4" width="54.44140625" bestFit="1" customWidth="1"/>
    <col min="5" max="5" width="11.44140625" style="2" bestFit="1" customWidth="1"/>
    <col min="7" max="7" width="49.44140625" bestFit="1" customWidth="1"/>
    <col min="8" max="8" width="11.44140625" style="2" bestFit="1" customWidth="1"/>
    <col min="10" max="10" width="54.44140625" bestFit="1" customWidth="1"/>
    <col min="11" max="11" width="11.44140625" bestFit="1" customWidth="1"/>
    <col min="13" max="13" width="46.109375" bestFit="1" customWidth="1"/>
    <col min="14" max="14" width="10.44140625" bestFit="1" customWidth="1"/>
    <col min="16" max="16" width="54.44140625" bestFit="1" customWidth="1"/>
    <col min="17" max="17" width="11.44140625" bestFit="1" customWidth="1"/>
    <col min="19" max="19" width="46.109375" bestFit="1" customWidth="1"/>
    <col min="20" max="20" width="11.44140625" bestFit="1" customWidth="1"/>
    <col min="22" max="22" width="46.109375" bestFit="1" customWidth="1"/>
    <col min="23" max="23" width="11.44140625" bestFit="1" customWidth="1"/>
    <col min="25" max="25" width="46.109375" bestFit="1" customWidth="1"/>
    <col min="26" max="26" width="11.44140625" bestFit="1" customWidth="1"/>
    <col min="27" max="27" width="11.21875" customWidth="1"/>
    <col min="28" max="28" width="47.6640625" bestFit="1" customWidth="1"/>
    <col min="29" max="29" width="11.33203125" bestFit="1" customWidth="1"/>
    <col min="30" max="30" width="10" customWidth="1"/>
    <col min="31" max="31" width="47.5546875" bestFit="1" customWidth="1"/>
    <col min="32" max="32" width="11.44140625" bestFit="1" customWidth="1"/>
  </cols>
  <sheetData>
    <row r="1" spans="1:11" x14ac:dyDescent="0.3">
      <c r="A1" t="s">
        <v>23</v>
      </c>
      <c r="B1" s="2" t="s">
        <v>6</v>
      </c>
      <c r="D1" t="s">
        <v>82</v>
      </c>
      <c r="E1" s="2" t="s">
        <v>6</v>
      </c>
      <c r="G1" t="s">
        <v>90</v>
      </c>
      <c r="H1" s="2" t="s">
        <v>6</v>
      </c>
      <c r="J1" t="s">
        <v>99</v>
      </c>
      <c r="K1" t="s">
        <v>6</v>
      </c>
    </row>
    <row r="2" spans="1:11" x14ac:dyDescent="0.3">
      <c r="A2" t="s">
        <v>1045</v>
      </c>
      <c r="B2" s="2">
        <v>4161</v>
      </c>
      <c r="D2" s="5" t="s">
        <v>15</v>
      </c>
      <c r="E2" s="2">
        <v>3951</v>
      </c>
      <c r="G2" s="5" t="s">
        <v>15</v>
      </c>
      <c r="H2" s="2">
        <v>2378</v>
      </c>
      <c r="J2" t="s">
        <v>19</v>
      </c>
      <c r="K2">
        <v>1853</v>
      </c>
    </row>
    <row r="3" spans="1:11" x14ac:dyDescent="0.3">
      <c r="A3" t="s">
        <v>16</v>
      </c>
      <c r="B3" s="2">
        <v>2762</v>
      </c>
      <c r="D3" s="5" t="s">
        <v>16</v>
      </c>
      <c r="E3" s="2">
        <v>2448</v>
      </c>
      <c r="G3" s="5" t="s">
        <v>16</v>
      </c>
      <c r="H3" s="2">
        <v>1748</v>
      </c>
      <c r="J3" t="s">
        <v>100</v>
      </c>
      <c r="K3">
        <v>6468</v>
      </c>
    </row>
    <row r="4" spans="1:11" x14ac:dyDescent="0.3">
      <c r="A4" t="s">
        <v>17</v>
      </c>
      <c r="B4" s="2">
        <v>3427</v>
      </c>
      <c r="D4" s="5" t="s">
        <v>17</v>
      </c>
      <c r="E4" s="24">
        <v>3427</v>
      </c>
      <c r="G4" s="5" t="s">
        <v>20</v>
      </c>
      <c r="H4" s="24">
        <v>1049</v>
      </c>
      <c r="J4" s="5" t="s">
        <v>24</v>
      </c>
      <c r="K4" s="6">
        <v>399</v>
      </c>
    </row>
    <row r="5" spans="1:11" x14ac:dyDescent="0.3">
      <c r="A5" t="s">
        <v>20</v>
      </c>
      <c r="B5" s="2">
        <v>1049</v>
      </c>
      <c r="D5" s="5" t="s">
        <v>20</v>
      </c>
      <c r="E5" s="24">
        <v>1049</v>
      </c>
      <c r="G5" s="5" t="s">
        <v>24</v>
      </c>
      <c r="H5" s="24">
        <v>399</v>
      </c>
      <c r="J5" s="5" t="s">
        <v>25</v>
      </c>
      <c r="K5" s="6">
        <v>357</v>
      </c>
    </row>
    <row r="6" spans="1:11" x14ac:dyDescent="0.3">
      <c r="A6" t="s">
        <v>21</v>
      </c>
      <c r="B6" s="2">
        <v>1049</v>
      </c>
      <c r="D6" s="5" t="s">
        <v>21</v>
      </c>
      <c r="E6" s="24">
        <v>1049</v>
      </c>
      <c r="G6" s="5" t="s">
        <v>25</v>
      </c>
      <c r="H6" s="24">
        <v>357</v>
      </c>
      <c r="J6" s="5" t="s">
        <v>27</v>
      </c>
      <c r="K6" s="6">
        <v>3357</v>
      </c>
    </row>
    <row r="7" spans="1:11" x14ac:dyDescent="0.3">
      <c r="A7" t="s">
        <v>22</v>
      </c>
      <c r="B7" s="2">
        <v>1294</v>
      </c>
      <c r="D7" s="5" t="s">
        <v>24</v>
      </c>
      <c r="E7" s="24">
        <v>399</v>
      </c>
      <c r="G7" s="5" t="s">
        <v>26</v>
      </c>
      <c r="H7" s="24">
        <v>427</v>
      </c>
      <c r="J7" s="5" t="s">
        <v>28</v>
      </c>
      <c r="K7" s="6">
        <v>1224</v>
      </c>
    </row>
    <row r="8" spans="1:11" x14ac:dyDescent="0.3">
      <c r="A8" t="s">
        <v>24</v>
      </c>
      <c r="B8" s="2">
        <v>399</v>
      </c>
      <c r="D8" s="5" t="s">
        <v>25</v>
      </c>
      <c r="E8" s="24">
        <v>357</v>
      </c>
      <c r="G8" s="5" t="s">
        <v>27</v>
      </c>
      <c r="H8" s="24">
        <v>3357</v>
      </c>
      <c r="J8" s="5" t="s">
        <v>36</v>
      </c>
      <c r="K8" s="6">
        <v>357</v>
      </c>
    </row>
    <row r="9" spans="1:11" x14ac:dyDescent="0.3">
      <c r="A9" t="s">
        <v>25</v>
      </c>
      <c r="B9" s="2">
        <v>357</v>
      </c>
      <c r="D9" s="5" t="s">
        <v>26</v>
      </c>
      <c r="E9" s="24">
        <v>427</v>
      </c>
      <c r="G9" s="5" t="s">
        <v>28</v>
      </c>
      <c r="H9" s="24">
        <v>1224</v>
      </c>
      <c r="J9" s="5" t="s">
        <v>38</v>
      </c>
      <c r="K9" s="6">
        <v>542</v>
      </c>
    </row>
    <row r="10" spans="1:11" x14ac:dyDescent="0.3">
      <c r="A10" t="s">
        <v>26</v>
      </c>
      <c r="B10" s="2">
        <v>427</v>
      </c>
      <c r="D10" s="5" t="s">
        <v>83</v>
      </c>
      <c r="E10" s="24">
        <v>692</v>
      </c>
      <c r="G10" s="5" t="s">
        <v>31</v>
      </c>
      <c r="H10" s="24">
        <v>343</v>
      </c>
    </row>
    <row r="11" spans="1:11" x14ac:dyDescent="0.3">
      <c r="A11" t="s">
        <v>83</v>
      </c>
      <c r="B11" s="2">
        <v>692</v>
      </c>
      <c r="D11" s="5" t="s">
        <v>27</v>
      </c>
      <c r="E11" s="24">
        <v>3357</v>
      </c>
      <c r="G11" s="5" t="s">
        <v>33</v>
      </c>
      <c r="H11" s="24">
        <v>1231</v>
      </c>
    </row>
    <row r="12" spans="1:11" x14ac:dyDescent="0.3">
      <c r="A12" t="s">
        <v>27</v>
      </c>
      <c r="B12" s="2">
        <v>3357</v>
      </c>
      <c r="D12" s="5" t="s">
        <v>28</v>
      </c>
      <c r="E12" s="24">
        <v>1224</v>
      </c>
      <c r="G12" s="5" t="s">
        <v>36</v>
      </c>
      <c r="H12" s="24">
        <v>357</v>
      </c>
    </row>
    <row r="13" spans="1:11" x14ac:dyDescent="0.3">
      <c r="A13" t="s">
        <v>28</v>
      </c>
      <c r="B13" s="2">
        <v>1224</v>
      </c>
      <c r="D13" s="5" t="s">
        <v>31</v>
      </c>
      <c r="E13" s="24">
        <v>343</v>
      </c>
      <c r="G13" s="5" t="s">
        <v>38</v>
      </c>
      <c r="H13" s="24">
        <v>542</v>
      </c>
    </row>
    <row r="14" spans="1:11" x14ac:dyDescent="0.3">
      <c r="A14" t="s">
        <v>29</v>
      </c>
      <c r="B14" s="2">
        <v>378</v>
      </c>
      <c r="D14" s="5" t="s">
        <v>32</v>
      </c>
      <c r="E14" s="24">
        <v>923</v>
      </c>
      <c r="G14" s="5" t="s">
        <v>39</v>
      </c>
      <c r="H14" s="24">
        <v>231</v>
      </c>
    </row>
    <row r="15" spans="1:11" x14ac:dyDescent="0.3">
      <c r="A15" t="s">
        <v>30</v>
      </c>
      <c r="B15" s="2">
        <v>2622</v>
      </c>
      <c r="D15" s="5" t="s">
        <v>33</v>
      </c>
      <c r="E15" s="24">
        <v>1231</v>
      </c>
    </row>
    <row r="16" spans="1:11" x14ac:dyDescent="0.3">
      <c r="A16" t="s">
        <v>31</v>
      </c>
      <c r="B16" s="2">
        <v>343</v>
      </c>
      <c r="D16" s="5" t="s">
        <v>34</v>
      </c>
      <c r="E16" s="24">
        <v>434</v>
      </c>
    </row>
    <row r="17" spans="1:8" x14ac:dyDescent="0.3">
      <c r="A17" t="s">
        <v>32</v>
      </c>
      <c r="B17" s="2">
        <v>923</v>
      </c>
      <c r="D17" s="5" t="s">
        <v>35</v>
      </c>
      <c r="E17" s="24">
        <v>1294</v>
      </c>
    </row>
    <row r="18" spans="1:8" x14ac:dyDescent="0.3">
      <c r="A18" t="s">
        <v>33</v>
      </c>
      <c r="B18" s="2">
        <v>1231</v>
      </c>
      <c r="D18" s="5" t="s">
        <v>36</v>
      </c>
      <c r="E18" s="24">
        <v>357</v>
      </c>
    </row>
    <row r="19" spans="1:8" x14ac:dyDescent="0.3">
      <c r="A19" t="s">
        <v>34</v>
      </c>
      <c r="B19" s="2">
        <v>434</v>
      </c>
      <c r="D19" s="5" t="s">
        <v>37</v>
      </c>
      <c r="E19" s="24">
        <v>615</v>
      </c>
    </row>
    <row r="20" spans="1:8" x14ac:dyDescent="0.3">
      <c r="A20" t="s">
        <v>35</v>
      </c>
      <c r="B20" s="2">
        <v>1294</v>
      </c>
      <c r="D20" s="5" t="s">
        <v>38</v>
      </c>
      <c r="E20" s="24">
        <v>542</v>
      </c>
    </row>
    <row r="21" spans="1:8" x14ac:dyDescent="0.3">
      <c r="A21" t="s">
        <v>36</v>
      </c>
      <c r="B21" s="2">
        <v>357</v>
      </c>
      <c r="D21" s="5" t="s">
        <v>39</v>
      </c>
      <c r="E21" s="24">
        <v>231</v>
      </c>
    </row>
    <row r="22" spans="1:8" x14ac:dyDescent="0.3">
      <c r="A22" t="s">
        <v>37</v>
      </c>
      <c r="B22" s="2">
        <v>615</v>
      </c>
    </row>
    <row r="23" spans="1:8" x14ac:dyDescent="0.3">
      <c r="A23" t="s">
        <v>38</v>
      </c>
      <c r="B23" s="2">
        <v>542</v>
      </c>
    </row>
    <row r="25" spans="1:8" x14ac:dyDescent="0.3">
      <c r="A25" t="s">
        <v>113</v>
      </c>
      <c r="B25" s="2" t="s">
        <v>6</v>
      </c>
      <c r="D25" t="s">
        <v>147</v>
      </c>
      <c r="E25" s="2" t="s">
        <v>6</v>
      </c>
      <c r="G25" t="s">
        <v>152</v>
      </c>
      <c r="H25" s="2" t="s">
        <v>6</v>
      </c>
    </row>
    <row r="26" spans="1:8" x14ac:dyDescent="0.3">
      <c r="A26" t="s">
        <v>114</v>
      </c>
      <c r="B26" s="2">
        <v>2264</v>
      </c>
      <c r="D26" s="5" t="s">
        <v>114</v>
      </c>
      <c r="E26" s="24">
        <v>2264</v>
      </c>
      <c r="G26" t="s">
        <v>153</v>
      </c>
      <c r="H26" s="2">
        <v>2790</v>
      </c>
    </row>
    <row r="27" spans="1:8" x14ac:dyDescent="0.3">
      <c r="A27" t="s">
        <v>115</v>
      </c>
      <c r="B27" s="2">
        <v>900</v>
      </c>
      <c r="D27" s="5" t="s">
        <v>116</v>
      </c>
      <c r="E27" s="24">
        <v>1809</v>
      </c>
      <c r="G27" t="s">
        <v>154</v>
      </c>
      <c r="H27" s="2">
        <v>1392</v>
      </c>
    </row>
    <row r="28" spans="1:8" x14ac:dyDescent="0.3">
      <c r="A28" t="s">
        <v>116</v>
      </c>
      <c r="B28" s="2">
        <v>2264</v>
      </c>
      <c r="D28" s="5" t="s">
        <v>117</v>
      </c>
      <c r="E28" s="24">
        <v>2264</v>
      </c>
      <c r="G28" t="s">
        <v>155</v>
      </c>
      <c r="H28" s="2">
        <v>1392</v>
      </c>
    </row>
    <row r="29" spans="1:8" x14ac:dyDescent="0.3">
      <c r="A29" t="s">
        <v>117</v>
      </c>
      <c r="B29" s="2">
        <v>2264</v>
      </c>
    </row>
    <row r="31" spans="1:8" x14ac:dyDescent="0.3">
      <c r="A31" t="s">
        <v>175</v>
      </c>
      <c r="B31" s="2" t="s">
        <v>6</v>
      </c>
      <c r="D31" t="s">
        <v>213</v>
      </c>
      <c r="E31" s="2" t="s">
        <v>6</v>
      </c>
      <c r="G31" t="s">
        <v>220</v>
      </c>
      <c r="H31" s="2" t="s">
        <v>6</v>
      </c>
    </row>
    <row r="32" spans="1:8" x14ac:dyDescent="0.3">
      <c r="A32" t="s">
        <v>176</v>
      </c>
      <c r="B32" s="2">
        <v>5245</v>
      </c>
      <c r="D32" s="5" t="s">
        <v>176</v>
      </c>
      <c r="E32" s="24">
        <v>5245</v>
      </c>
      <c r="G32" s="19" t="s">
        <v>221</v>
      </c>
      <c r="H32" s="2">
        <v>6224</v>
      </c>
    </row>
    <row r="33" spans="1:8" x14ac:dyDescent="0.3">
      <c r="A33" t="s">
        <v>177</v>
      </c>
      <c r="B33" s="2">
        <v>2511</v>
      </c>
      <c r="D33" s="5" t="s">
        <v>178</v>
      </c>
      <c r="E33" s="2">
        <v>2028</v>
      </c>
      <c r="G33" t="s">
        <v>222</v>
      </c>
      <c r="H33" s="2">
        <v>11182</v>
      </c>
    </row>
    <row r="34" spans="1:8" x14ac:dyDescent="0.3">
      <c r="A34" t="s">
        <v>178</v>
      </c>
      <c r="B34" s="2">
        <v>4825</v>
      </c>
      <c r="D34" s="21" t="s">
        <v>214</v>
      </c>
      <c r="E34" s="2">
        <v>8042</v>
      </c>
      <c r="G34" s="5" t="s">
        <v>181</v>
      </c>
      <c r="H34" s="24">
        <v>3427</v>
      </c>
    </row>
    <row r="35" spans="1:8" x14ac:dyDescent="0.3">
      <c r="A35" t="s">
        <v>179</v>
      </c>
      <c r="B35" s="2">
        <v>1392</v>
      </c>
      <c r="D35" s="5" t="s">
        <v>180</v>
      </c>
      <c r="E35" s="24">
        <v>692</v>
      </c>
      <c r="G35" s="5" t="s">
        <v>184</v>
      </c>
      <c r="H35" s="24">
        <v>350</v>
      </c>
    </row>
    <row r="36" spans="1:8" x14ac:dyDescent="0.3">
      <c r="A36" t="s">
        <v>180</v>
      </c>
      <c r="B36" s="2">
        <v>692</v>
      </c>
      <c r="D36" s="5" t="s">
        <v>181</v>
      </c>
      <c r="E36" s="24">
        <v>3427</v>
      </c>
      <c r="G36" s="5" t="s">
        <v>185</v>
      </c>
      <c r="H36" s="24">
        <v>420</v>
      </c>
    </row>
    <row r="37" spans="1:8" x14ac:dyDescent="0.3">
      <c r="A37" t="s">
        <v>181</v>
      </c>
      <c r="B37" s="2">
        <v>3427</v>
      </c>
      <c r="D37" s="5" t="s">
        <v>182</v>
      </c>
      <c r="E37" s="24">
        <v>1469</v>
      </c>
      <c r="G37" s="5" t="s">
        <v>186</v>
      </c>
      <c r="H37" s="24">
        <v>175</v>
      </c>
    </row>
    <row r="38" spans="1:8" x14ac:dyDescent="0.3">
      <c r="A38" t="s">
        <v>182</v>
      </c>
      <c r="B38" s="2">
        <v>1469</v>
      </c>
      <c r="D38" s="5" t="s">
        <v>183</v>
      </c>
      <c r="E38" s="24">
        <v>2553</v>
      </c>
      <c r="G38" s="5" t="s">
        <v>191</v>
      </c>
      <c r="H38" s="24">
        <v>1608</v>
      </c>
    </row>
    <row r="39" spans="1:8" x14ac:dyDescent="0.3">
      <c r="A39" t="s">
        <v>183</v>
      </c>
      <c r="B39" s="2">
        <v>2553</v>
      </c>
      <c r="D39" s="5" t="s">
        <v>184</v>
      </c>
      <c r="E39" s="24">
        <v>350</v>
      </c>
    </row>
    <row r="40" spans="1:8" x14ac:dyDescent="0.3">
      <c r="A40" t="s">
        <v>184</v>
      </c>
      <c r="B40" s="2">
        <v>350</v>
      </c>
      <c r="D40" s="5" t="s">
        <v>185</v>
      </c>
      <c r="E40" s="24">
        <v>420</v>
      </c>
    </row>
    <row r="41" spans="1:8" x14ac:dyDescent="0.3">
      <c r="A41" t="s">
        <v>185</v>
      </c>
      <c r="B41" s="2">
        <v>420</v>
      </c>
      <c r="D41" s="5" t="s">
        <v>186</v>
      </c>
      <c r="E41" s="24">
        <v>175</v>
      </c>
    </row>
    <row r="42" spans="1:8" x14ac:dyDescent="0.3">
      <c r="A42" t="s">
        <v>186</v>
      </c>
      <c r="B42" s="2">
        <v>175</v>
      </c>
      <c r="D42" s="5" t="s">
        <v>187</v>
      </c>
      <c r="E42" s="24">
        <v>839</v>
      </c>
    </row>
    <row r="43" spans="1:8" x14ac:dyDescent="0.3">
      <c r="A43" t="s">
        <v>187</v>
      </c>
      <c r="B43" s="2">
        <v>839</v>
      </c>
      <c r="D43" s="5" t="s">
        <v>188</v>
      </c>
      <c r="E43" s="24">
        <v>629</v>
      </c>
    </row>
    <row r="44" spans="1:8" x14ac:dyDescent="0.3">
      <c r="A44" t="s">
        <v>188</v>
      </c>
      <c r="B44" s="2">
        <v>629</v>
      </c>
      <c r="D44" s="5" t="s">
        <v>191</v>
      </c>
      <c r="E44" s="24">
        <v>1608</v>
      </c>
    </row>
    <row r="45" spans="1:8" x14ac:dyDescent="0.3">
      <c r="A45" t="s">
        <v>191</v>
      </c>
      <c r="B45" s="2">
        <v>1608</v>
      </c>
      <c r="D45" s="5" t="s">
        <v>192</v>
      </c>
      <c r="E45" s="24">
        <v>2447</v>
      </c>
    </row>
    <row r="46" spans="1:8" x14ac:dyDescent="0.3">
      <c r="A46" t="s">
        <v>192</v>
      </c>
      <c r="B46" s="2">
        <v>2447</v>
      </c>
      <c r="D46" s="5" t="s">
        <v>193</v>
      </c>
      <c r="E46" s="24">
        <v>1259</v>
      </c>
    </row>
    <row r="47" spans="1:8" x14ac:dyDescent="0.3">
      <c r="A47" t="s">
        <v>193</v>
      </c>
      <c r="B47" s="2">
        <v>1259</v>
      </c>
      <c r="D47" s="5" t="s">
        <v>194</v>
      </c>
      <c r="E47" s="24">
        <v>3252</v>
      </c>
    </row>
    <row r="48" spans="1:8" x14ac:dyDescent="0.3">
      <c r="A48" t="s">
        <v>194</v>
      </c>
      <c r="B48" s="2">
        <v>3252</v>
      </c>
    </row>
    <row r="50" spans="1:14" x14ac:dyDescent="0.3">
      <c r="A50" t="s">
        <v>237</v>
      </c>
      <c r="B50" s="2" t="s">
        <v>6</v>
      </c>
      <c r="D50" t="s">
        <v>264</v>
      </c>
      <c r="E50" s="2" t="s">
        <v>6</v>
      </c>
      <c r="G50" t="s">
        <v>269</v>
      </c>
      <c r="H50" s="2" t="s">
        <v>6</v>
      </c>
      <c r="J50" t="s">
        <v>276</v>
      </c>
      <c r="K50" t="s">
        <v>6</v>
      </c>
    </row>
    <row r="51" spans="1:14" x14ac:dyDescent="0.3">
      <c r="A51" t="s">
        <v>114</v>
      </c>
      <c r="B51" s="2">
        <v>2264</v>
      </c>
      <c r="D51" s="5" t="s">
        <v>114</v>
      </c>
      <c r="E51" s="24">
        <v>2264</v>
      </c>
      <c r="G51" s="5" t="s">
        <v>114</v>
      </c>
      <c r="H51" s="24">
        <v>2264</v>
      </c>
      <c r="J51" t="s">
        <v>154</v>
      </c>
      <c r="K51" s="2">
        <v>1392</v>
      </c>
    </row>
    <row r="52" spans="1:14" x14ac:dyDescent="0.3">
      <c r="A52" t="s">
        <v>238</v>
      </c>
      <c r="B52" s="2">
        <v>900</v>
      </c>
      <c r="D52" s="5" t="s">
        <v>238</v>
      </c>
      <c r="E52" s="24">
        <v>900</v>
      </c>
      <c r="G52" s="5" t="s">
        <v>117</v>
      </c>
      <c r="H52" s="24">
        <v>2264</v>
      </c>
      <c r="J52" s="7" t="s">
        <v>243</v>
      </c>
      <c r="K52" s="2">
        <v>273</v>
      </c>
    </row>
    <row r="53" spans="1:14" x14ac:dyDescent="0.3">
      <c r="A53" t="s">
        <v>239</v>
      </c>
      <c r="B53" s="2">
        <v>445</v>
      </c>
      <c r="D53" s="5" t="s">
        <v>239</v>
      </c>
      <c r="E53" s="24">
        <v>445</v>
      </c>
      <c r="G53" s="5" t="s">
        <v>243</v>
      </c>
      <c r="H53" s="24">
        <v>355</v>
      </c>
    </row>
    <row r="54" spans="1:14" x14ac:dyDescent="0.3">
      <c r="A54" t="s">
        <v>116</v>
      </c>
      <c r="B54" s="2">
        <v>1355</v>
      </c>
      <c r="D54" s="5" t="s">
        <v>116</v>
      </c>
      <c r="E54" s="24">
        <v>1355</v>
      </c>
    </row>
    <row r="55" spans="1:14" x14ac:dyDescent="0.3">
      <c r="A55" t="s">
        <v>240</v>
      </c>
      <c r="B55" s="2">
        <v>1355</v>
      </c>
      <c r="D55" s="5" t="s">
        <v>240</v>
      </c>
      <c r="E55" s="24">
        <v>1355</v>
      </c>
    </row>
    <row r="56" spans="1:14" x14ac:dyDescent="0.3">
      <c r="A56" t="s">
        <v>241</v>
      </c>
      <c r="B56" s="2">
        <v>1355</v>
      </c>
      <c r="D56" s="5" t="s">
        <v>241</v>
      </c>
      <c r="E56" s="24">
        <v>1355</v>
      </c>
    </row>
    <row r="57" spans="1:14" x14ac:dyDescent="0.3">
      <c r="A57" t="s">
        <v>117</v>
      </c>
      <c r="B57" s="2">
        <v>2264</v>
      </c>
      <c r="D57" s="5" t="s">
        <v>117</v>
      </c>
      <c r="E57" s="24">
        <v>2264</v>
      </c>
    </row>
    <row r="58" spans="1:14" x14ac:dyDescent="0.3">
      <c r="A58" t="s">
        <v>242</v>
      </c>
      <c r="B58" s="2">
        <v>1355</v>
      </c>
      <c r="D58" s="5" t="s">
        <v>242</v>
      </c>
      <c r="E58" s="24">
        <v>1355</v>
      </c>
    </row>
    <row r="59" spans="1:14" x14ac:dyDescent="0.3">
      <c r="A59" t="s">
        <v>243</v>
      </c>
      <c r="B59" s="2">
        <v>355</v>
      </c>
      <c r="D59" s="5" t="s">
        <v>243</v>
      </c>
      <c r="E59" s="24">
        <v>355</v>
      </c>
    </row>
    <row r="60" spans="1:14" x14ac:dyDescent="0.3">
      <c r="A60" t="s">
        <v>35</v>
      </c>
      <c r="B60" s="2">
        <v>900</v>
      </c>
      <c r="D60" s="5" t="s">
        <v>35</v>
      </c>
      <c r="E60" s="24">
        <v>900</v>
      </c>
    </row>
    <row r="63" spans="1:14" x14ac:dyDescent="0.3">
      <c r="A63" t="s">
        <v>295</v>
      </c>
      <c r="B63" s="2" t="s">
        <v>6</v>
      </c>
      <c r="D63" t="s">
        <v>298</v>
      </c>
      <c r="E63" s="2" t="s">
        <v>6</v>
      </c>
      <c r="G63" t="s">
        <v>299</v>
      </c>
      <c r="H63" s="2" t="s">
        <v>6</v>
      </c>
      <c r="J63" t="s">
        <v>300</v>
      </c>
      <c r="K63" t="s">
        <v>6</v>
      </c>
      <c r="M63" t="s">
        <v>301</v>
      </c>
      <c r="N63" t="s">
        <v>6</v>
      </c>
    </row>
    <row r="64" spans="1:14" x14ac:dyDescent="0.3">
      <c r="A64" t="s">
        <v>296</v>
      </c>
      <c r="B64" s="2">
        <v>2264</v>
      </c>
      <c r="D64" s="5" t="s">
        <v>296</v>
      </c>
      <c r="E64" s="24">
        <v>2264</v>
      </c>
      <c r="G64" s="5" t="s">
        <v>296</v>
      </c>
      <c r="H64" s="24">
        <v>2264</v>
      </c>
      <c r="J64" s="5" t="s">
        <v>114</v>
      </c>
      <c r="K64" s="6">
        <v>2718</v>
      </c>
      <c r="M64" s="5" t="s">
        <v>154</v>
      </c>
      <c r="N64" s="24">
        <v>1392</v>
      </c>
    </row>
    <row r="65" spans="1:14" x14ac:dyDescent="0.3">
      <c r="A65" s="5" t="s">
        <v>238</v>
      </c>
      <c r="B65" s="2">
        <v>900</v>
      </c>
      <c r="D65" s="5" t="s">
        <v>114</v>
      </c>
      <c r="E65" s="24">
        <v>2718</v>
      </c>
      <c r="G65" s="5" t="s">
        <v>114</v>
      </c>
      <c r="H65" s="24">
        <v>2718</v>
      </c>
      <c r="J65" s="5" t="s">
        <v>238</v>
      </c>
      <c r="K65" s="6">
        <v>900</v>
      </c>
      <c r="M65" s="5" t="s">
        <v>155</v>
      </c>
      <c r="N65" s="24">
        <v>1392</v>
      </c>
    </row>
    <row r="66" spans="1:14" x14ac:dyDescent="0.3">
      <c r="A66" s="5" t="s">
        <v>239</v>
      </c>
      <c r="B66" s="2">
        <v>900</v>
      </c>
      <c r="D66" s="5" t="s">
        <v>238</v>
      </c>
      <c r="E66" s="24">
        <v>900</v>
      </c>
      <c r="G66" s="5" t="s">
        <v>238</v>
      </c>
      <c r="H66" s="24">
        <v>900</v>
      </c>
      <c r="J66" s="5" t="s">
        <v>241</v>
      </c>
      <c r="K66" s="6">
        <v>1355</v>
      </c>
    </row>
    <row r="67" spans="1:14" x14ac:dyDescent="0.3">
      <c r="A67" s="5" t="s">
        <v>116</v>
      </c>
      <c r="B67" s="2">
        <v>1809</v>
      </c>
      <c r="D67" s="5" t="s">
        <v>239</v>
      </c>
      <c r="E67" s="24">
        <v>445</v>
      </c>
      <c r="G67" s="5" t="s">
        <v>239</v>
      </c>
      <c r="H67" s="24">
        <v>445</v>
      </c>
      <c r="J67" s="5" t="s">
        <v>117</v>
      </c>
      <c r="K67" s="6">
        <v>2264</v>
      </c>
    </row>
    <row r="68" spans="1:14" x14ac:dyDescent="0.3">
      <c r="A68" s="5" t="s">
        <v>117</v>
      </c>
      <c r="B68" s="2">
        <v>2264</v>
      </c>
      <c r="D68" s="5" t="s">
        <v>116</v>
      </c>
      <c r="E68" s="24">
        <v>1355</v>
      </c>
      <c r="G68" s="5" t="s">
        <v>116</v>
      </c>
      <c r="H68" s="24">
        <v>1355</v>
      </c>
      <c r="J68" s="5" t="s">
        <v>297</v>
      </c>
      <c r="K68" s="6">
        <v>1082</v>
      </c>
    </row>
    <row r="69" spans="1:14" x14ac:dyDescent="0.3">
      <c r="A69" s="21" t="s">
        <v>297</v>
      </c>
      <c r="B69" s="2">
        <v>1082</v>
      </c>
      <c r="D69" s="5" t="s">
        <v>240</v>
      </c>
      <c r="E69" s="24">
        <v>1355</v>
      </c>
      <c r="G69" s="5" t="s">
        <v>240</v>
      </c>
      <c r="H69" s="24">
        <v>1355</v>
      </c>
    </row>
    <row r="70" spans="1:14" x14ac:dyDescent="0.3">
      <c r="A70" s="21" t="s">
        <v>35</v>
      </c>
      <c r="B70" s="2">
        <v>900</v>
      </c>
      <c r="D70" s="5" t="s">
        <v>241</v>
      </c>
      <c r="E70" s="24">
        <v>1355</v>
      </c>
      <c r="G70" s="5" t="s">
        <v>241</v>
      </c>
      <c r="H70" s="24">
        <v>1355</v>
      </c>
    </row>
    <row r="71" spans="1:14" x14ac:dyDescent="0.3">
      <c r="A71" s="5" t="s">
        <v>114</v>
      </c>
      <c r="B71" s="2">
        <v>2718</v>
      </c>
      <c r="D71" s="5" t="s">
        <v>117</v>
      </c>
      <c r="E71" s="24">
        <v>2264</v>
      </c>
      <c r="G71" s="5" t="s">
        <v>117</v>
      </c>
      <c r="H71" s="24">
        <v>2264</v>
      </c>
    </row>
    <row r="72" spans="1:14" x14ac:dyDescent="0.3">
      <c r="D72" s="5" t="s">
        <v>297</v>
      </c>
      <c r="E72" s="24">
        <v>1082</v>
      </c>
      <c r="G72" s="5" t="s">
        <v>297</v>
      </c>
      <c r="H72" s="24">
        <v>1082</v>
      </c>
    </row>
    <row r="73" spans="1:14" x14ac:dyDescent="0.3">
      <c r="D73" s="5" t="s">
        <v>35</v>
      </c>
      <c r="E73" s="24">
        <v>900</v>
      </c>
      <c r="G73" s="5" t="s">
        <v>35</v>
      </c>
      <c r="H73" s="24">
        <v>900</v>
      </c>
    </row>
    <row r="74" spans="1:14" x14ac:dyDescent="0.3">
      <c r="D74" s="44"/>
      <c r="E74" s="45"/>
      <c r="G74" s="44"/>
      <c r="H74" s="45"/>
    </row>
    <row r="75" spans="1:14" x14ac:dyDescent="0.3">
      <c r="A75" t="s">
        <v>1047</v>
      </c>
      <c r="B75" s="2" t="s">
        <v>6</v>
      </c>
      <c r="D75" s="44"/>
      <c r="E75" s="45"/>
      <c r="G75" s="44"/>
      <c r="H75" s="45"/>
    </row>
    <row r="76" spans="1:14" x14ac:dyDescent="0.3">
      <c r="A76" t="s">
        <v>1048</v>
      </c>
      <c r="B76" s="2">
        <v>4545</v>
      </c>
      <c r="D76" s="44"/>
      <c r="E76" s="45"/>
      <c r="G76" s="44"/>
      <c r="H76" s="45"/>
    </row>
    <row r="77" spans="1:14" x14ac:dyDescent="0.3">
      <c r="A77" t="s">
        <v>1049</v>
      </c>
      <c r="B77" s="2">
        <v>0</v>
      </c>
      <c r="D77" s="44"/>
      <c r="E77" s="45"/>
      <c r="G77" s="44"/>
      <c r="H77" s="45"/>
    </row>
    <row r="78" spans="1:14" x14ac:dyDescent="0.3">
      <c r="A78" t="s">
        <v>1050</v>
      </c>
      <c r="B78" s="2">
        <v>1084</v>
      </c>
      <c r="D78" s="44"/>
      <c r="E78" s="45"/>
      <c r="G78" s="44"/>
      <c r="H78" s="45"/>
    </row>
    <row r="79" spans="1:14" x14ac:dyDescent="0.3">
      <c r="A79" t="s">
        <v>1051</v>
      </c>
      <c r="B79" s="2">
        <v>524</v>
      </c>
      <c r="D79" s="44"/>
      <c r="E79" s="45"/>
      <c r="G79" s="44"/>
      <c r="H79" s="45"/>
    </row>
    <row r="80" spans="1:14" x14ac:dyDescent="0.3">
      <c r="A80" t="s">
        <v>1052</v>
      </c>
      <c r="B80" s="2">
        <v>1224</v>
      </c>
      <c r="D80" s="44"/>
      <c r="E80" s="45"/>
      <c r="G80" s="44"/>
      <c r="H80" s="45"/>
    </row>
    <row r="81" spans="1:11" x14ac:dyDescent="0.3">
      <c r="A81" t="s">
        <v>1053</v>
      </c>
      <c r="B81" s="2">
        <v>0</v>
      </c>
      <c r="D81" s="44"/>
      <c r="E81" s="45"/>
      <c r="G81" s="44"/>
      <c r="H81" s="45"/>
    </row>
    <row r="82" spans="1:11" x14ac:dyDescent="0.3">
      <c r="A82" t="s">
        <v>1054</v>
      </c>
      <c r="B82" s="2">
        <v>1084</v>
      </c>
    </row>
    <row r="84" spans="1:11" x14ac:dyDescent="0.3">
      <c r="A84" t="s">
        <v>371</v>
      </c>
      <c r="B84" s="2" t="s">
        <v>6</v>
      </c>
      <c r="D84" t="s">
        <v>392</v>
      </c>
      <c r="E84" s="2" t="s">
        <v>6</v>
      </c>
      <c r="G84" t="s">
        <v>393</v>
      </c>
      <c r="H84" s="2" t="s">
        <v>6</v>
      </c>
      <c r="J84" t="s">
        <v>399</v>
      </c>
      <c r="K84" t="s">
        <v>6</v>
      </c>
    </row>
    <row r="85" spans="1:11" x14ac:dyDescent="0.3">
      <c r="A85" t="s">
        <v>372</v>
      </c>
      <c r="B85" s="2">
        <v>8357</v>
      </c>
      <c r="D85" s="5" t="s">
        <v>372</v>
      </c>
      <c r="E85" s="2">
        <v>7500</v>
      </c>
      <c r="G85" t="s">
        <v>18</v>
      </c>
      <c r="H85" s="2">
        <v>1818</v>
      </c>
      <c r="J85" s="5" t="s">
        <v>18</v>
      </c>
      <c r="K85" s="13">
        <v>1818</v>
      </c>
    </row>
    <row r="86" spans="1:11" x14ac:dyDescent="0.3">
      <c r="A86" t="s">
        <v>373</v>
      </c>
      <c r="B86" s="2">
        <v>11119</v>
      </c>
      <c r="D86" s="5" t="s">
        <v>373</v>
      </c>
      <c r="E86" s="24">
        <v>11119</v>
      </c>
      <c r="G86" s="5" t="s">
        <v>24</v>
      </c>
      <c r="H86" s="24">
        <v>385</v>
      </c>
      <c r="J86" s="5" t="s">
        <v>24</v>
      </c>
      <c r="K86" s="13">
        <v>385</v>
      </c>
    </row>
    <row r="87" spans="1:11" x14ac:dyDescent="0.3">
      <c r="A87" s="5" t="s">
        <v>24</v>
      </c>
      <c r="B87" s="2">
        <v>385</v>
      </c>
      <c r="D87" s="5" t="s">
        <v>24</v>
      </c>
      <c r="E87" s="24">
        <v>385</v>
      </c>
      <c r="G87" s="21" t="s">
        <v>394</v>
      </c>
      <c r="H87" s="2">
        <v>3322</v>
      </c>
      <c r="J87" s="5" t="s">
        <v>394</v>
      </c>
      <c r="K87" s="6">
        <v>3322</v>
      </c>
    </row>
    <row r="88" spans="1:11" x14ac:dyDescent="0.3">
      <c r="A88" s="5" t="s">
        <v>25</v>
      </c>
      <c r="B88" s="2">
        <v>332</v>
      </c>
      <c r="D88" s="5" t="s">
        <v>25</v>
      </c>
      <c r="E88" s="24">
        <v>332</v>
      </c>
      <c r="G88" s="5" t="s">
        <v>375</v>
      </c>
      <c r="H88" s="24">
        <v>8269</v>
      </c>
      <c r="J88" s="5" t="s">
        <v>376</v>
      </c>
      <c r="K88" s="6">
        <v>1538</v>
      </c>
    </row>
    <row r="89" spans="1:11" x14ac:dyDescent="0.3">
      <c r="A89" s="5" t="s">
        <v>26</v>
      </c>
      <c r="B89" s="2">
        <v>1049</v>
      </c>
      <c r="D89" s="5" t="s">
        <v>374</v>
      </c>
      <c r="E89" s="24">
        <v>2797</v>
      </c>
      <c r="G89" s="5" t="s">
        <v>376</v>
      </c>
      <c r="H89" s="24">
        <v>1538</v>
      </c>
      <c r="J89" s="5" t="s">
        <v>377</v>
      </c>
      <c r="K89" s="6">
        <v>682</v>
      </c>
    </row>
    <row r="90" spans="1:11" x14ac:dyDescent="0.3">
      <c r="A90" s="21" t="s">
        <v>374</v>
      </c>
      <c r="B90" s="2">
        <v>2797</v>
      </c>
      <c r="D90" s="5" t="s">
        <v>375</v>
      </c>
      <c r="E90" s="24">
        <v>8269</v>
      </c>
      <c r="G90" s="5" t="s">
        <v>377</v>
      </c>
      <c r="H90" s="24">
        <v>682</v>
      </c>
      <c r="J90" s="5" t="s">
        <v>378</v>
      </c>
      <c r="K90" s="6">
        <v>682</v>
      </c>
    </row>
    <row r="91" spans="1:11" x14ac:dyDescent="0.3">
      <c r="A91" s="21" t="s">
        <v>375</v>
      </c>
      <c r="B91" s="2">
        <v>8269</v>
      </c>
      <c r="D91" s="5" t="s">
        <v>376</v>
      </c>
      <c r="E91" s="24">
        <v>1538</v>
      </c>
      <c r="G91" s="5" t="s">
        <v>378</v>
      </c>
      <c r="H91" s="24">
        <v>682</v>
      </c>
      <c r="J91" s="5" t="s">
        <v>379</v>
      </c>
      <c r="K91" s="6">
        <v>0</v>
      </c>
    </row>
    <row r="92" spans="1:11" x14ac:dyDescent="0.3">
      <c r="A92" s="21" t="s">
        <v>376</v>
      </c>
      <c r="B92" s="2">
        <v>1538</v>
      </c>
      <c r="D92" s="5" t="s">
        <v>36</v>
      </c>
      <c r="E92" s="24">
        <v>420</v>
      </c>
      <c r="G92" s="5" t="s">
        <v>379</v>
      </c>
      <c r="H92" s="24">
        <v>2045</v>
      </c>
      <c r="J92" s="5" t="s">
        <v>380</v>
      </c>
      <c r="K92" s="6">
        <v>0</v>
      </c>
    </row>
    <row r="93" spans="1:11" x14ac:dyDescent="0.3">
      <c r="A93" s="5" t="s">
        <v>36</v>
      </c>
      <c r="B93" s="2">
        <v>420</v>
      </c>
      <c r="D93" s="5" t="s">
        <v>377</v>
      </c>
      <c r="E93" s="24">
        <v>682</v>
      </c>
      <c r="G93" s="5" t="s">
        <v>380</v>
      </c>
      <c r="H93" s="24">
        <v>2045</v>
      </c>
      <c r="J93" s="5" t="s">
        <v>381</v>
      </c>
      <c r="K93" s="6">
        <v>0</v>
      </c>
    </row>
    <row r="94" spans="1:11" x14ac:dyDescent="0.3">
      <c r="A94" s="21" t="s">
        <v>377</v>
      </c>
      <c r="B94" s="2">
        <v>682</v>
      </c>
      <c r="D94" s="5" t="s">
        <v>378</v>
      </c>
      <c r="E94" s="24">
        <v>682</v>
      </c>
      <c r="G94" s="5" t="s">
        <v>381</v>
      </c>
      <c r="H94" s="24">
        <v>2045</v>
      </c>
      <c r="J94" s="5" t="s">
        <v>386</v>
      </c>
      <c r="K94" s="6">
        <v>629</v>
      </c>
    </row>
    <row r="95" spans="1:11" x14ac:dyDescent="0.3">
      <c r="A95" t="s">
        <v>378</v>
      </c>
      <c r="B95" s="2">
        <v>682</v>
      </c>
      <c r="D95" s="5" t="s">
        <v>379</v>
      </c>
      <c r="E95" s="24">
        <v>2045</v>
      </c>
      <c r="G95" s="5" t="s">
        <v>382</v>
      </c>
      <c r="H95" s="24">
        <v>3409</v>
      </c>
      <c r="J95" s="5" t="s">
        <v>27</v>
      </c>
      <c r="K95" s="6">
        <v>3059</v>
      </c>
    </row>
    <row r="96" spans="1:11" x14ac:dyDescent="0.3">
      <c r="A96" t="s">
        <v>379</v>
      </c>
      <c r="B96" s="2">
        <v>2045</v>
      </c>
      <c r="D96" s="5" t="s">
        <v>380</v>
      </c>
      <c r="E96" s="24">
        <v>2045</v>
      </c>
      <c r="G96" s="5" t="s">
        <v>383</v>
      </c>
      <c r="H96" s="24">
        <v>3409</v>
      </c>
      <c r="J96" s="7" t="s">
        <v>390</v>
      </c>
      <c r="K96" s="8">
        <v>3374</v>
      </c>
    </row>
    <row r="97" spans="1:29" x14ac:dyDescent="0.3">
      <c r="A97" t="s">
        <v>380</v>
      </c>
      <c r="B97" s="2">
        <v>2045</v>
      </c>
      <c r="D97" s="5" t="s">
        <v>381</v>
      </c>
      <c r="E97" s="24">
        <v>2045</v>
      </c>
      <c r="G97" s="5" t="s">
        <v>384</v>
      </c>
      <c r="H97" s="24">
        <v>3409</v>
      </c>
      <c r="J97" s="5" t="s">
        <v>397</v>
      </c>
      <c r="K97" s="6">
        <v>16364</v>
      </c>
    </row>
    <row r="98" spans="1:29" x14ac:dyDescent="0.3">
      <c r="A98" t="s">
        <v>381</v>
      </c>
      <c r="B98" s="2">
        <v>2045</v>
      </c>
      <c r="D98" s="5" t="s">
        <v>382</v>
      </c>
      <c r="E98" s="24">
        <v>3409</v>
      </c>
      <c r="G98" s="5" t="s">
        <v>386</v>
      </c>
      <c r="H98" s="24">
        <v>629</v>
      </c>
      <c r="J98" s="5" t="s">
        <v>398</v>
      </c>
      <c r="K98" s="6">
        <v>0</v>
      </c>
    </row>
    <row r="99" spans="1:29" x14ac:dyDescent="0.3">
      <c r="A99" t="s">
        <v>382</v>
      </c>
      <c r="B99" s="2">
        <v>3409</v>
      </c>
      <c r="D99" s="5" t="s">
        <v>383</v>
      </c>
      <c r="E99" s="24">
        <v>3409</v>
      </c>
      <c r="G99" s="5" t="s">
        <v>27</v>
      </c>
      <c r="H99" s="24">
        <v>4266</v>
      </c>
    </row>
    <row r="100" spans="1:29" x14ac:dyDescent="0.3">
      <c r="A100" t="s">
        <v>383</v>
      </c>
      <c r="B100" s="2">
        <v>3409</v>
      </c>
      <c r="D100" s="5" t="s">
        <v>384</v>
      </c>
      <c r="E100" s="24">
        <v>3409</v>
      </c>
      <c r="G100" s="5" t="s">
        <v>28</v>
      </c>
      <c r="H100" s="24">
        <v>1189</v>
      </c>
    </row>
    <row r="101" spans="1:29" x14ac:dyDescent="0.3">
      <c r="A101" t="s">
        <v>384</v>
      </c>
      <c r="B101" s="2">
        <v>3409</v>
      </c>
      <c r="D101" s="5" t="s">
        <v>385</v>
      </c>
      <c r="E101" s="24">
        <v>612</v>
      </c>
      <c r="G101" s="25" t="s">
        <v>395</v>
      </c>
      <c r="H101" s="26">
        <v>1224</v>
      </c>
    </row>
    <row r="102" spans="1:29" x14ac:dyDescent="0.3">
      <c r="A102" t="s">
        <v>385</v>
      </c>
      <c r="B102" s="2">
        <v>612</v>
      </c>
      <c r="D102" s="5" t="s">
        <v>386</v>
      </c>
      <c r="E102" s="24">
        <v>629</v>
      </c>
      <c r="G102" s="7" t="s">
        <v>390</v>
      </c>
      <c r="H102" s="27">
        <v>3374</v>
      </c>
    </row>
    <row r="103" spans="1:29" x14ac:dyDescent="0.3">
      <c r="A103" t="s">
        <v>386</v>
      </c>
      <c r="B103" s="2">
        <v>629</v>
      </c>
      <c r="D103" s="5" t="s">
        <v>27</v>
      </c>
      <c r="E103" s="24">
        <v>4266</v>
      </c>
      <c r="G103" s="25" t="s">
        <v>396</v>
      </c>
      <c r="H103" s="26">
        <v>4091</v>
      </c>
    </row>
    <row r="104" spans="1:29" x14ac:dyDescent="0.3">
      <c r="A104" s="5" t="s">
        <v>27</v>
      </c>
      <c r="B104" s="2">
        <v>4266</v>
      </c>
      <c r="D104" s="5" t="s">
        <v>28</v>
      </c>
      <c r="E104" s="24">
        <v>1189</v>
      </c>
      <c r="G104" s="25" t="s">
        <v>397</v>
      </c>
      <c r="H104" s="26">
        <v>16364</v>
      </c>
    </row>
    <row r="105" spans="1:29" x14ac:dyDescent="0.3">
      <c r="A105" s="5" t="s">
        <v>28</v>
      </c>
      <c r="B105" s="2">
        <v>1189</v>
      </c>
      <c r="D105" s="5" t="s">
        <v>38</v>
      </c>
      <c r="E105" s="24">
        <v>542</v>
      </c>
      <c r="G105" s="25" t="s">
        <v>398</v>
      </c>
      <c r="H105" s="26">
        <v>0</v>
      </c>
    </row>
    <row r="106" spans="1:29" x14ac:dyDescent="0.3">
      <c r="A106" s="5" t="s">
        <v>38</v>
      </c>
      <c r="B106" s="2">
        <v>542</v>
      </c>
      <c r="D106" s="5" t="s">
        <v>387</v>
      </c>
      <c r="E106" s="24" t="s">
        <v>388</v>
      </c>
    </row>
    <row r="107" spans="1:29" x14ac:dyDescent="0.3">
      <c r="A107" s="21" t="s">
        <v>387</v>
      </c>
      <c r="B107" s="2" t="s">
        <v>388</v>
      </c>
      <c r="D107" s="5" t="s">
        <v>389</v>
      </c>
      <c r="E107" s="24">
        <v>6084</v>
      </c>
    </row>
    <row r="108" spans="1:29" x14ac:dyDescent="0.3">
      <c r="A108" s="21" t="s">
        <v>389</v>
      </c>
      <c r="B108" s="2">
        <v>6084</v>
      </c>
      <c r="D108" s="5" t="s">
        <v>390</v>
      </c>
      <c r="E108" s="24">
        <v>3374</v>
      </c>
    </row>
    <row r="109" spans="1:29" x14ac:dyDescent="0.3">
      <c r="A109" s="21" t="s">
        <v>390</v>
      </c>
      <c r="B109" s="2">
        <v>3374</v>
      </c>
    </row>
    <row r="111" spans="1:29" x14ac:dyDescent="0.3">
      <c r="A111" t="s">
        <v>462</v>
      </c>
      <c r="B111" s="2" t="s">
        <v>6</v>
      </c>
      <c r="D111" t="s">
        <v>495</v>
      </c>
      <c r="E111" s="2" t="s">
        <v>6</v>
      </c>
      <c r="G111" t="s">
        <v>496</v>
      </c>
      <c r="H111" s="2" t="s">
        <v>6</v>
      </c>
      <c r="J111" t="s">
        <v>498</v>
      </c>
      <c r="K111" t="s">
        <v>6</v>
      </c>
      <c r="M111" t="s">
        <v>499</v>
      </c>
      <c r="N111" t="s">
        <v>6</v>
      </c>
      <c r="P111" t="s">
        <v>500</v>
      </c>
      <c r="Q111" t="s">
        <v>6</v>
      </c>
      <c r="S111" t="s">
        <v>501</v>
      </c>
      <c r="T111" t="s">
        <v>6</v>
      </c>
      <c r="V111" t="s">
        <v>1055</v>
      </c>
      <c r="W111" t="s">
        <v>6</v>
      </c>
      <c r="Y111" t="s">
        <v>509</v>
      </c>
      <c r="Z111" t="s">
        <v>6</v>
      </c>
      <c r="AB111" t="s">
        <v>1056</v>
      </c>
      <c r="AC111" t="s">
        <v>6</v>
      </c>
    </row>
    <row r="112" spans="1:29" x14ac:dyDescent="0.3">
      <c r="A112" s="5" t="s">
        <v>372</v>
      </c>
      <c r="B112" s="2">
        <v>5245</v>
      </c>
      <c r="D112" s="5" t="s">
        <v>372</v>
      </c>
      <c r="E112" s="24">
        <v>5245</v>
      </c>
      <c r="G112" s="5" t="s">
        <v>372</v>
      </c>
      <c r="H112" s="24">
        <v>5245</v>
      </c>
      <c r="J112" s="5" t="s">
        <v>372</v>
      </c>
      <c r="K112" s="6">
        <v>4895</v>
      </c>
      <c r="M112" s="5" t="s">
        <v>372</v>
      </c>
      <c r="N112" s="6">
        <v>4545</v>
      </c>
      <c r="P112" s="5" t="s">
        <v>372</v>
      </c>
      <c r="Q112" s="6">
        <v>4545</v>
      </c>
      <c r="S112" s="5" t="s">
        <v>502</v>
      </c>
      <c r="T112" s="6">
        <v>1818</v>
      </c>
      <c r="V112" s="5" t="s">
        <v>502</v>
      </c>
      <c r="W112" s="6">
        <v>1818</v>
      </c>
      <c r="Y112" s="5" t="s">
        <v>372</v>
      </c>
      <c r="Z112" s="6">
        <v>4895</v>
      </c>
      <c r="AB112" s="5" t="s">
        <v>502</v>
      </c>
      <c r="AC112" s="6">
        <v>1818</v>
      </c>
    </row>
    <row r="113" spans="1:29" x14ac:dyDescent="0.3">
      <c r="A113" t="s">
        <v>473</v>
      </c>
      <c r="B113" s="2">
        <v>2710</v>
      </c>
      <c r="D113" s="5" t="s">
        <v>473</v>
      </c>
      <c r="E113" s="24">
        <v>2710</v>
      </c>
      <c r="G113" s="5" t="s">
        <v>473</v>
      </c>
      <c r="H113" s="24">
        <v>2710</v>
      </c>
      <c r="J113" s="5" t="s">
        <v>473</v>
      </c>
      <c r="K113" s="6">
        <v>2710</v>
      </c>
      <c r="M113" s="5" t="s">
        <v>473</v>
      </c>
      <c r="N113" s="6">
        <v>2710</v>
      </c>
      <c r="P113" s="5" t="s">
        <v>473</v>
      </c>
      <c r="Q113" s="6">
        <v>2710</v>
      </c>
      <c r="S113" s="5" t="s">
        <v>503</v>
      </c>
      <c r="T113" s="6">
        <v>5245</v>
      </c>
      <c r="V113" s="5" t="s">
        <v>503</v>
      </c>
      <c r="W113" s="6">
        <v>5245</v>
      </c>
      <c r="Y113" s="5" t="s">
        <v>484</v>
      </c>
      <c r="Z113" s="6">
        <v>804</v>
      </c>
      <c r="AB113" s="5" t="s">
        <v>503</v>
      </c>
      <c r="AC113" s="6">
        <v>5245</v>
      </c>
    </row>
    <row r="114" spans="1:29" x14ac:dyDescent="0.3">
      <c r="A114" t="s">
        <v>474</v>
      </c>
      <c r="B114" s="2">
        <v>1538</v>
      </c>
      <c r="D114" s="5" t="s">
        <v>474</v>
      </c>
      <c r="E114" s="24">
        <v>1538</v>
      </c>
      <c r="G114" s="5" t="s">
        <v>474</v>
      </c>
      <c r="H114" s="24">
        <v>1538</v>
      </c>
      <c r="J114" s="5" t="s">
        <v>474</v>
      </c>
      <c r="K114" s="6">
        <v>1538</v>
      </c>
      <c r="M114" s="5" t="s">
        <v>474</v>
      </c>
      <c r="N114" s="6">
        <v>1538</v>
      </c>
      <c r="P114" s="5" t="s">
        <v>474</v>
      </c>
      <c r="Q114" s="6">
        <v>1538</v>
      </c>
      <c r="S114" s="5" t="s">
        <v>474</v>
      </c>
      <c r="T114" s="6">
        <v>1538</v>
      </c>
      <c r="V114" s="5" t="s">
        <v>497</v>
      </c>
      <c r="W114" s="6">
        <v>4126</v>
      </c>
      <c r="Y114" s="5" t="s">
        <v>485</v>
      </c>
      <c r="Z114" s="6">
        <v>4895</v>
      </c>
      <c r="AB114" s="5" t="s">
        <v>497</v>
      </c>
      <c r="AC114" s="6">
        <v>4126</v>
      </c>
    </row>
    <row r="115" spans="1:29" x14ac:dyDescent="0.3">
      <c r="A115" t="s">
        <v>475</v>
      </c>
      <c r="B115" s="2">
        <v>4545</v>
      </c>
      <c r="D115" s="5" t="s">
        <v>475</v>
      </c>
      <c r="E115" s="24">
        <v>4545</v>
      </c>
      <c r="G115" s="5" t="s">
        <v>477</v>
      </c>
      <c r="H115" s="24">
        <v>6923</v>
      </c>
      <c r="J115" s="5" t="s">
        <v>477</v>
      </c>
      <c r="K115" s="6">
        <v>6923</v>
      </c>
      <c r="M115" s="5" t="s">
        <v>477</v>
      </c>
      <c r="N115" s="6">
        <v>6259</v>
      </c>
      <c r="P115" s="5" t="s">
        <v>477</v>
      </c>
      <c r="Q115" s="6">
        <v>6259</v>
      </c>
      <c r="S115" s="5" t="s">
        <v>477</v>
      </c>
      <c r="T115" s="6">
        <v>6259</v>
      </c>
      <c r="V115" s="5" t="s">
        <v>474</v>
      </c>
      <c r="W115" s="6">
        <v>1538</v>
      </c>
      <c r="Y115" s="5" t="s">
        <v>497</v>
      </c>
      <c r="Z115" s="6">
        <v>4126</v>
      </c>
      <c r="AB115" s="5" t="s">
        <v>484</v>
      </c>
      <c r="AC115" s="6">
        <v>804</v>
      </c>
    </row>
    <row r="116" spans="1:29" x14ac:dyDescent="0.3">
      <c r="A116" t="s">
        <v>476</v>
      </c>
      <c r="B116" s="2">
        <v>2448</v>
      </c>
      <c r="D116" s="5" t="s">
        <v>476</v>
      </c>
      <c r="E116" s="24">
        <v>2448</v>
      </c>
      <c r="G116" s="5" t="s">
        <v>479</v>
      </c>
      <c r="H116" s="24">
        <v>559</v>
      </c>
      <c r="J116" s="5" t="s">
        <v>479</v>
      </c>
      <c r="K116" s="6">
        <v>559</v>
      </c>
      <c r="M116" s="5" t="s">
        <v>478</v>
      </c>
      <c r="N116" s="6">
        <v>1573</v>
      </c>
      <c r="P116" s="5" t="s">
        <v>479</v>
      </c>
      <c r="Q116" s="6">
        <v>559</v>
      </c>
      <c r="S116" s="5" t="s">
        <v>479</v>
      </c>
      <c r="T116" s="6">
        <v>559</v>
      </c>
      <c r="V116" s="5" t="s">
        <v>477</v>
      </c>
      <c r="W116" s="6">
        <v>6259</v>
      </c>
      <c r="Y116" s="5" t="s">
        <v>488</v>
      </c>
      <c r="Z116" s="6">
        <v>1748</v>
      </c>
      <c r="AB116" s="5" t="s">
        <v>485</v>
      </c>
      <c r="AC116" s="6">
        <v>4895</v>
      </c>
    </row>
    <row r="117" spans="1:29" x14ac:dyDescent="0.3">
      <c r="A117" t="s">
        <v>477</v>
      </c>
      <c r="B117" s="2">
        <v>6923</v>
      </c>
      <c r="D117" s="5" t="s">
        <v>477</v>
      </c>
      <c r="E117" s="24">
        <v>6923</v>
      </c>
      <c r="G117" s="5" t="s">
        <v>480</v>
      </c>
      <c r="H117" s="24">
        <v>1906</v>
      </c>
      <c r="J117" s="5" t="s">
        <v>480</v>
      </c>
      <c r="K117" s="6">
        <v>1906</v>
      </c>
      <c r="M117" s="5" t="s">
        <v>479</v>
      </c>
      <c r="N117" s="6">
        <v>559</v>
      </c>
      <c r="P117" s="5" t="s">
        <v>480</v>
      </c>
      <c r="Q117" s="6">
        <v>1906</v>
      </c>
      <c r="S117" s="5" t="s">
        <v>480</v>
      </c>
      <c r="T117" s="6">
        <v>1906</v>
      </c>
      <c r="V117" s="5" t="s">
        <v>479</v>
      </c>
      <c r="W117" s="6">
        <v>559</v>
      </c>
      <c r="Y117" s="5" t="s">
        <v>492</v>
      </c>
      <c r="Z117" s="6">
        <v>6923</v>
      </c>
      <c r="AB117" s="5" t="s">
        <v>488</v>
      </c>
      <c r="AC117" s="6">
        <v>1748</v>
      </c>
    </row>
    <row r="118" spans="1:29" x14ac:dyDescent="0.3">
      <c r="A118" t="s">
        <v>478</v>
      </c>
      <c r="B118" s="2">
        <v>1573</v>
      </c>
      <c r="D118" s="5" t="s">
        <v>479</v>
      </c>
      <c r="E118" s="24">
        <v>559</v>
      </c>
      <c r="G118" s="5" t="s">
        <v>481</v>
      </c>
      <c r="H118" s="24">
        <v>3846</v>
      </c>
      <c r="J118" s="5" t="s">
        <v>481</v>
      </c>
      <c r="K118" s="6">
        <v>3846</v>
      </c>
      <c r="M118" s="5" t="s">
        <v>480</v>
      </c>
      <c r="N118" s="6">
        <v>1906</v>
      </c>
      <c r="P118" s="5" t="s">
        <v>481</v>
      </c>
      <c r="Q118" s="6">
        <v>3846</v>
      </c>
      <c r="S118" s="5" t="s">
        <v>481</v>
      </c>
      <c r="T118" s="6">
        <v>2552</v>
      </c>
      <c r="V118" s="5" t="s">
        <v>480</v>
      </c>
      <c r="W118" s="6">
        <v>1906</v>
      </c>
      <c r="Y118" s="5" t="s">
        <v>38</v>
      </c>
      <c r="Z118" s="6">
        <v>507</v>
      </c>
      <c r="AB118" s="5" t="s">
        <v>510</v>
      </c>
      <c r="AC118" s="6">
        <v>0</v>
      </c>
    </row>
    <row r="119" spans="1:29" x14ac:dyDescent="0.3">
      <c r="A119" t="s">
        <v>479</v>
      </c>
      <c r="B119" s="2">
        <v>559</v>
      </c>
      <c r="D119" s="5" t="s">
        <v>480</v>
      </c>
      <c r="E119" s="24">
        <v>1906</v>
      </c>
      <c r="G119" s="5" t="s">
        <v>482</v>
      </c>
      <c r="H119" s="24">
        <v>3811</v>
      </c>
      <c r="J119" s="5" t="s">
        <v>482</v>
      </c>
      <c r="K119" s="6">
        <v>3811</v>
      </c>
      <c r="M119" s="5" t="s">
        <v>481</v>
      </c>
      <c r="N119" s="6">
        <v>3846</v>
      </c>
      <c r="P119" s="5" t="s">
        <v>484</v>
      </c>
      <c r="Q119" s="6">
        <v>2483</v>
      </c>
      <c r="S119" s="5" t="s">
        <v>482</v>
      </c>
      <c r="T119" s="6">
        <v>3811</v>
      </c>
      <c r="V119" s="5" t="s">
        <v>481</v>
      </c>
      <c r="W119" s="6">
        <v>2552</v>
      </c>
      <c r="Y119" s="5" t="s">
        <v>493</v>
      </c>
      <c r="Z119" s="6">
        <v>629</v>
      </c>
      <c r="AB119" s="5" t="s">
        <v>493</v>
      </c>
      <c r="AC119" s="6">
        <v>629</v>
      </c>
    </row>
    <row r="120" spans="1:29" x14ac:dyDescent="0.3">
      <c r="A120" t="s">
        <v>480</v>
      </c>
      <c r="B120" s="2">
        <v>1906</v>
      </c>
      <c r="D120" s="5" t="s">
        <v>481</v>
      </c>
      <c r="E120" s="24">
        <v>3846</v>
      </c>
      <c r="G120" s="5" t="s">
        <v>483</v>
      </c>
      <c r="H120" s="24">
        <v>699</v>
      </c>
      <c r="J120" s="5" t="s">
        <v>483</v>
      </c>
      <c r="K120" s="6">
        <v>699</v>
      </c>
      <c r="M120" s="5" t="s">
        <v>482</v>
      </c>
      <c r="N120" s="6">
        <v>3811</v>
      </c>
      <c r="P120" s="5" t="s">
        <v>485</v>
      </c>
      <c r="Q120" s="6">
        <v>5944</v>
      </c>
      <c r="S120" s="5" t="s">
        <v>484</v>
      </c>
      <c r="T120" s="6">
        <v>804</v>
      </c>
      <c r="V120" s="5" t="s">
        <v>482</v>
      </c>
      <c r="W120" s="6">
        <v>3811</v>
      </c>
      <c r="Y120" s="5" t="s">
        <v>494</v>
      </c>
      <c r="Z120" s="6">
        <v>402</v>
      </c>
      <c r="AB120" s="5" t="s">
        <v>494</v>
      </c>
      <c r="AC120" s="6">
        <v>402</v>
      </c>
    </row>
    <row r="121" spans="1:29" x14ac:dyDescent="0.3">
      <c r="A121" t="s">
        <v>481</v>
      </c>
      <c r="B121" s="2">
        <v>3846</v>
      </c>
      <c r="D121" s="5" t="s">
        <v>482</v>
      </c>
      <c r="E121" s="24">
        <v>3811</v>
      </c>
      <c r="G121" s="5" t="s">
        <v>484</v>
      </c>
      <c r="H121" s="24">
        <v>2483</v>
      </c>
      <c r="J121" s="5" t="s">
        <v>484</v>
      </c>
      <c r="K121" s="6">
        <v>2483</v>
      </c>
      <c r="M121" s="5" t="s">
        <v>484</v>
      </c>
      <c r="N121" s="6">
        <v>4545</v>
      </c>
      <c r="P121" s="5" t="s">
        <v>497</v>
      </c>
      <c r="Q121" s="6">
        <v>4126</v>
      </c>
      <c r="S121" s="5" t="s">
        <v>24</v>
      </c>
      <c r="T121" s="6">
        <v>367</v>
      </c>
      <c r="V121" s="5" t="s">
        <v>484</v>
      </c>
      <c r="W121" s="6">
        <v>804</v>
      </c>
      <c r="Y121" s="5" t="s">
        <v>504</v>
      </c>
      <c r="Z121" s="6">
        <v>210</v>
      </c>
      <c r="AB121" s="5" t="s">
        <v>504</v>
      </c>
      <c r="AC121" s="6">
        <v>210</v>
      </c>
    </row>
    <row r="122" spans="1:29" x14ac:dyDescent="0.3">
      <c r="A122" t="s">
        <v>482</v>
      </c>
      <c r="B122" s="2">
        <v>3811</v>
      </c>
      <c r="D122" s="5" t="s">
        <v>483</v>
      </c>
      <c r="E122" s="24">
        <v>699</v>
      </c>
      <c r="G122" s="5" t="s">
        <v>485</v>
      </c>
      <c r="H122" s="24">
        <v>5944</v>
      </c>
      <c r="J122" s="5" t="s">
        <v>485</v>
      </c>
      <c r="K122" s="6">
        <v>5944</v>
      </c>
      <c r="M122" s="5" t="s">
        <v>486</v>
      </c>
      <c r="N122" s="6">
        <v>2395</v>
      </c>
      <c r="P122" s="5" t="s">
        <v>24</v>
      </c>
      <c r="Q122" s="6">
        <v>367</v>
      </c>
      <c r="S122" s="5" t="s">
        <v>488</v>
      </c>
      <c r="T122" s="6">
        <v>1748</v>
      </c>
      <c r="V122" s="5" t="s">
        <v>24</v>
      </c>
      <c r="W122" s="6">
        <v>367</v>
      </c>
      <c r="AB122" s="5" t="s">
        <v>506</v>
      </c>
      <c r="AC122" s="6">
        <v>0</v>
      </c>
    </row>
    <row r="123" spans="1:29" x14ac:dyDescent="0.3">
      <c r="A123" t="s">
        <v>483</v>
      </c>
      <c r="B123" s="2">
        <v>699</v>
      </c>
      <c r="D123" s="5" t="s">
        <v>484</v>
      </c>
      <c r="E123" s="24">
        <v>4545</v>
      </c>
      <c r="G123" s="5" t="s">
        <v>497</v>
      </c>
      <c r="H123" s="24">
        <v>4126</v>
      </c>
      <c r="J123" s="5" t="s">
        <v>497</v>
      </c>
      <c r="K123" s="6">
        <v>4126</v>
      </c>
      <c r="M123" s="5" t="s">
        <v>24</v>
      </c>
      <c r="N123" s="6">
        <v>367</v>
      </c>
      <c r="P123" s="5" t="s">
        <v>488</v>
      </c>
      <c r="Q123" s="6">
        <v>1748</v>
      </c>
      <c r="S123" s="5" t="s">
        <v>490</v>
      </c>
      <c r="T123" s="6">
        <v>1608</v>
      </c>
      <c r="V123" s="5" t="s">
        <v>488</v>
      </c>
      <c r="W123" s="6">
        <v>1748</v>
      </c>
      <c r="AB123" s="5" t="s">
        <v>508</v>
      </c>
      <c r="AC123" s="6">
        <v>12238</v>
      </c>
    </row>
    <row r="124" spans="1:29" x14ac:dyDescent="0.3">
      <c r="A124" t="s">
        <v>484</v>
      </c>
      <c r="B124" s="2">
        <v>4545</v>
      </c>
      <c r="D124" s="5" t="s">
        <v>486</v>
      </c>
      <c r="E124" s="24">
        <v>2395</v>
      </c>
      <c r="G124" s="5" t="s">
        <v>24</v>
      </c>
      <c r="H124" s="24">
        <v>367</v>
      </c>
      <c r="J124" s="5" t="s">
        <v>24</v>
      </c>
      <c r="K124" s="6">
        <v>367</v>
      </c>
      <c r="M124" s="5" t="s">
        <v>488</v>
      </c>
      <c r="N124" s="6">
        <v>1748</v>
      </c>
      <c r="P124" s="5" t="s">
        <v>490</v>
      </c>
      <c r="Q124" s="6">
        <v>1608</v>
      </c>
      <c r="S124" s="5" t="s">
        <v>491</v>
      </c>
      <c r="T124" s="6">
        <v>1818</v>
      </c>
      <c r="V124" s="5" t="s">
        <v>490</v>
      </c>
      <c r="W124" s="6">
        <v>1608</v>
      </c>
    </row>
    <row r="125" spans="1:29" x14ac:dyDescent="0.3">
      <c r="A125" t="s">
        <v>486</v>
      </c>
      <c r="B125" s="2">
        <v>2395</v>
      </c>
      <c r="D125" s="5" t="s">
        <v>24</v>
      </c>
      <c r="E125" s="24">
        <v>367</v>
      </c>
      <c r="G125" s="5" t="s">
        <v>26</v>
      </c>
      <c r="H125" s="24">
        <v>979</v>
      </c>
      <c r="J125" s="5" t="s">
        <v>26</v>
      </c>
      <c r="K125" s="6">
        <v>979</v>
      </c>
      <c r="M125" s="5" t="s">
        <v>490</v>
      </c>
      <c r="N125" s="6">
        <v>1608</v>
      </c>
      <c r="P125" s="5" t="s">
        <v>492</v>
      </c>
      <c r="Q125" s="6">
        <v>6923</v>
      </c>
      <c r="S125" s="5" t="s">
        <v>492</v>
      </c>
      <c r="T125" s="6">
        <v>6923</v>
      </c>
      <c r="V125" s="5" t="s">
        <v>492</v>
      </c>
      <c r="W125" s="6">
        <v>6923</v>
      </c>
    </row>
    <row r="126" spans="1:29" x14ac:dyDescent="0.3">
      <c r="A126" s="5" t="s">
        <v>24</v>
      </c>
      <c r="B126" s="2">
        <v>367</v>
      </c>
      <c r="D126" s="5" t="s">
        <v>26</v>
      </c>
      <c r="E126" s="24">
        <v>979</v>
      </c>
      <c r="G126" s="5" t="s">
        <v>487</v>
      </c>
      <c r="H126" s="24">
        <v>979</v>
      </c>
      <c r="J126" s="5" t="s">
        <v>487</v>
      </c>
      <c r="K126" s="6">
        <v>979</v>
      </c>
      <c r="M126" s="5" t="s">
        <v>491</v>
      </c>
      <c r="N126" s="6">
        <v>1818</v>
      </c>
      <c r="P126" s="5" t="s">
        <v>38</v>
      </c>
      <c r="Q126" s="6">
        <v>507</v>
      </c>
      <c r="S126" s="5" t="s">
        <v>390</v>
      </c>
      <c r="T126" s="6">
        <v>3252</v>
      </c>
      <c r="V126" s="5" t="s">
        <v>390</v>
      </c>
      <c r="W126" s="6">
        <v>3252</v>
      </c>
    </row>
    <row r="127" spans="1:29" x14ac:dyDescent="0.3">
      <c r="A127" s="5" t="s">
        <v>26</v>
      </c>
      <c r="B127" s="2">
        <v>979</v>
      </c>
      <c r="D127" s="5" t="s">
        <v>487</v>
      </c>
      <c r="E127" s="24">
        <v>979</v>
      </c>
      <c r="G127" s="5" t="s">
        <v>488</v>
      </c>
      <c r="H127" s="24">
        <v>1748</v>
      </c>
      <c r="J127" s="5" t="s">
        <v>488</v>
      </c>
      <c r="K127" s="6">
        <v>1748</v>
      </c>
      <c r="M127" s="5" t="s">
        <v>492</v>
      </c>
      <c r="N127" s="6">
        <v>6923</v>
      </c>
      <c r="P127" s="5" t="s">
        <v>390</v>
      </c>
      <c r="Q127" s="6">
        <v>3252</v>
      </c>
      <c r="S127" s="5" t="s">
        <v>493</v>
      </c>
      <c r="T127" s="6">
        <v>629</v>
      </c>
      <c r="V127" s="5" t="s">
        <v>493</v>
      </c>
      <c r="W127" s="6">
        <v>629</v>
      </c>
    </row>
    <row r="128" spans="1:29" x14ac:dyDescent="0.3">
      <c r="A128" s="21" t="s">
        <v>487</v>
      </c>
      <c r="B128" s="2">
        <v>979</v>
      </c>
      <c r="D128" s="5" t="s">
        <v>488</v>
      </c>
      <c r="E128" s="24">
        <v>1748</v>
      </c>
      <c r="G128" s="5" t="s">
        <v>489</v>
      </c>
      <c r="H128" s="24">
        <v>245</v>
      </c>
      <c r="J128" s="5" t="s">
        <v>489</v>
      </c>
      <c r="K128" s="6">
        <v>245</v>
      </c>
      <c r="M128" s="5" t="s">
        <v>38</v>
      </c>
      <c r="N128" s="6">
        <v>507</v>
      </c>
      <c r="P128" s="5" t="s">
        <v>493</v>
      </c>
      <c r="Q128" s="6">
        <v>629</v>
      </c>
      <c r="S128" s="5" t="s">
        <v>494</v>
      </c>
      <c r="T128" s="6">
        <v>402</v>
      </c>
      <c r="V128" s="5" t="s">
        <v>494</v>
      </c>
      <c r="W128" s="6">
        <v>402</v>
      </c>
    </row>
    <row r="129" spans="1:23" x14ac:dyDescent="0.3">
      <c r="A129" s="21" t="s">
        <v>488</v>
      </c>
      <c r="B129" s="2">
        <v>1748</v>
      </c>
      <c r="D129" s="5" t="s">
        <v>489</v>
      </c>
      <c r="E129" s="24">
        <v>245</v>
      </c>
      <c r="G129" s="5" t="s">
        <v>490</v>
      </c>
      <c r="H129" s="24">
        <v>1871</v>
      </c>
      <c r="J129" s="5" t="s">
        <v>490</v>
      </c>
      <c r="K129" s="6">
        <v>1871</v>
      </c>
      <c r="M129" s="5" t="s">
        <v>390</v>
      </c>
      <c r="N129" s="6">
        <v>3252</v>
      </c>
      <c r="P129" s="5" t="s">
        <v>494</v>
      </c>
      <c r="Q129" s="6">
        <v>402</v>
      </c>
      <c r="S129" s="5" t="s">
        <v>504</v>
      </c>
      <c r="T129" s="6">
        <v>210</v>
      </c>
      <c r="V129" s="5" t="s">
        <v>504</v>
      </c>
      <c r="W129" s="6">
        <v>210</v>
      </c>
    </row>
    <row r="130" spans="1:23" x14ac:dyDescent="0.3">
      <c r="A130" s="21" t="s">
        <v>489</v>
      </c>
      <c r="B130" s="2">
        <v>245</v>
      </c>
      <c r="D130" s="5" t="s">
        <v>490</v>
      </c>
      <c r="E130" s="24">
        <v>1871</v>
      </c>
      <c r="G130" s="5" t="s">
        <v>492</v>
      </c>
      <c r="H130" s="24">
        <v>6923</v>
      </c>
      <c r="J130" s="5" t="s">
        <v>492</v>
      </c>
      <c r="K130" s="6">
        <v>6923</v>
      </c>
      <c r="M130" s="5" t="s">
        <v>493</v>
      </c>
      <c r="N130" s="6">
        <v>629</v>
      </c>
      <c r="P130" s="5" t="s">
        <v>504</v>
      </c>
      <c r="Q130" s="6">
        <v>210</v>
      </c>
      <c r="S130" s="5" t="s">
        <v>506</v>
      </c>
      <c r="T130" s="6">
        <v>0</v>
      </c>
      <c r="V130" s="5" t="s">
        <v>506</v>
      </c>
      <c r="W130" s="6">
        <v>0</v>
      </c>
    </row>
    <row r="131" spans="1:23" x14ac:dyDescent="0.3">
      <c r="A131" s="21" t="s">
        <v>490</v>
      </c>
      <c r="B131" s="2">
        <v>1871</v>
      </c>
      <c r="D131" s="5" t="s">
        <v>491</v>
      </c>
      <c r="E131" s="24">
        <v>1818</v>
      </c>
      <c r="G131" s="5" t="s">
        <v>38</v>
      </c>
      <c r="H131" s="24">
        <v>507</v>
      </c>
      <c r="J131" s="5" t="s">
        <v>38</v>
      </c>
      <c r="K131" s="6">
        <v>507</v>
      </c>
      <c r="M131" s="5" t="s">
        <v>494</v>
      </c>
      <c r="N131" s="6">
        <v>402</v>
      </c>
      <c r="P131" s="5" t="s">
        <v>505</v>
      </c>
      <c r="Q131" s="6">
        <v>6766</v>
      </c>
      <c r="S131" s="5" t="s">
        <v>507</v>
      </c>
      <c r="T131" s="6">
        <v>2395</v>
      </c>
      <c r="V131" s="5" t="s">
        <v>507</v>
      </c>
      <c r="W131" s="6">
        <v>2395</v>
      </c>
    </row>
    <row r="132" spans="1:23" x14ac:dyDescent="0.3">
      <c r="A132" s="21" t="s">
        <v>491</v>
      </c>
      <c r="B132" s="2">
        <v>1818</v>
      </c>
      <c r="D132" s="5" t="s">
        <v>492</v>
      </c>
      <c r="E132" s="24">
        <v>6923</v>
      </c>
      <c r="G132" s="5" t="s">
        <v>390</v>
      </c>
      <c r="H132" s="24">
        <v>4545</v>
      </c>
      <c r="J132" s="5" t="s">
        <v>390</v>
      </c>
      <c r="K132" s="6">
        <v>4545</v>
      </c>
      <c r="M132" s="5" t="s">
        <v>36</v>
      </c>
      <c r="N132" s="6">
        <v>245</v>
      </c>
      <c r="V132" s="5" t="s">
        <v>508</v>
      </c>
      <c r="W132" s="6">
        <v>12238</v>
      </c>
    </row>
    <row r="133" spans="1:23" x14ac:dyDescent="0.3">
      <c r="A133" s="21" t="s">
        <v>492</v>
      </c>
      <c r="B133" s="2">
        <v>6923</v>
      </c>
      <c r="D133" s="5" t="s">
        <v>38</v>
      </c>
      <c r="E133" s="24">
        <v>507</v>
      </c>
      <c r="G133" s="5" t="s">
        <v>493</v>
      </c>
      <c r="H133" s="24">
        <v>629</v>
      </c>
      <c r="J133" s="5" t="s">
        <v>493</v>
      </c>
      <c r="K133" s="6">
        <v>629</v>
      </c>
      <c r="M133" s="5" t="s">
        <v>504</v>
      </c>
      <c r="N133" s="6">
        <v>210</v>
      </c>
    </row>
    <row r="134" spans="1:23" x14ac:dyDescent="0.3">
      <c r="A134" s="5" t="s">
        <v>38</v>
      </c>
      <c r="B134" s="2">
        <v>507</v>
      </c>
      <c r="D134" s="5" t="s">
        <v>390</v>
      </c>
      <c r="E134" s="24">
        <v>4545</v>
      </c>
      <c r="G134" s="5" t="s">
        <v>391</v>
      </c>
      <c r="H134" s="24">
        <v>944</v>
      </c>
      <c r="J134" s="5" t="s">
        <v>391</v>
      </c>
      <c r="K134" s="6">
        <v>944</v>
      </c>
      <c r="M134" s="5" t="s">
        <v>505</v>
      </c>
      <c r="N134" s="6">
        <v>6766</v>
      </c>
    </row>
    <row r="135" spans="1:23" x14ac:dyDescent="0.3">
      <c r="A135" s="21" t="s">
        <v>390</v>
      </c>
      <c r="B135" s="2">
        <v>4545</v>
      </c>
      <c r="D135" s="5" t="s">
        <v>493</v>
      </c>
      <c r="E135" s="24">
        <v>629</v>
      </c>
      <c r="G135" s="5" t="s">
        <v>494</v>
      </c>
      <c r="H135" s="24">
        <v>402</v>
      </c>
      <c r="J135" s="5" t="s">
        <v>494</v>
      </c>
      <c r="K135" s="6">
        <v>402</v>
      </c>
    </row>
    <row r="136" spans="1:23" x14ac:dyDescent="0.3">
      <c r="A136" s="21" t="s">
        <v>493</v>
      </c>
      <c r="B136" s="2">
        <v>629</v>
      </c>
      <c r="D136" s="5" t="s">
        <v>391</v>
      </c>
      <c r="E136" s="24">
        <v>944</v>
      </c>
      <c r="G136" s="5" t="s">
        <v>36</v>
      </c>
      <c r="H136" s="24">
        <v>245</v>
      </c>
      <c r="J136" s="5" t="s">
        <v>36</v>
      </c>
      <c r="K136" s="6">
        <v>245</v>
      </c>
    </row>
    <row r="137" spans="1:23" x14ac:dyDescent="0.3">
      <c r="A137" s="21" t="s">
        <v>391</v>
      </c>
      <c r="B137" s="2">
        <v>944</v>
      </c>
      <c r="D137" s="5" t="s">
        <v>494</v>
      </c>
      <c r="E137" s="24">
        <v>402</v>
      </c>
      <c r="G137" s="5" t="s">
        <v>504</v>
      </c>
      <c r="H137" s="24">
        <v>210</v>
      </c>
      <c r="J137" s="5" t="s">
        <v>504</v>
      </c>
      <c r="K137" s="6">
        <v>210</v>
      </c>
    </row>
    <row r="138" spans="1:23" x14ac:dyDescent="0.3">
      <c r="A138" s="21" t="s">
        <v>494</v>
      </c>
      <c r="B138" s="2">
        <v>402</v>
      </c>
      <c r="D138" s="5" t="s">
        <v>36</v>
      </c>
      <c r="E138" s="24">
        <v>245</v>
      </c>
    </row>
    <row r="139" spans="1:23" x14ac:dyDescent="0.3">
      <c r="A139" s="5" t="s">
        <v>36</v>
      </c>
      <c r="B139" s="2">
        <v>245</v>
      </c>
    </row>
    <row r="141" spans="1:23" x14ac:dyDescent="0.3">
      <c r="A141" t="s">
        <v>499</v>
      </c>
      <c r="B141" s="2" t="s">
        <v>6</v>
      </c>
      <c r="D141" t="s">
        <v>501</v>
      </c>
      <c r="E141" s="2" t="s">
        <v>6</v>
      </c>
      <c r="G141" t="s">
        <v>621</v>
      </c>
      <c r="H141" s="2" t="s">
        <v>6</v>
      </c>
    </row>
    <row r="142" spans="1:23" x14ac:dyDescent="0.3">
      <c r="A142" s="5" t="s">
        <v>473</v>
      </c>
      <c r="B142" s="24">
        <v>2710</v>
      </c>
      <c r="D142" s="5" t="s">
        <v>502</v>
      </c>
      <c r="E142" s="24">
        <v>1818</v>
      </c>
      <c r="G142" s="5" t="s">
        <v>502</v>
      </c>
      <c r="H142" s="24">
        <v>1818</v>
      </c>
    </row>
    <row r="143" spans="1:23" x14ac:dyDescent="0.3">
      <c r="A143" s="5" t="s">
        <v>474</v>
      </c>
      <c r="B143" s="24">
        <v>1538</v>
      </c>
      <c r="D143" s="5" t="s">
        <v>474</v>
      </c>
      <c r="E143" s="24">
        <v>1538</v>
      </c>
      <c r="G143" s="5" t="s">
        <v>484</v>
      </c>
      <c r="H143" s="29">
        <v>1434</v>
      </c>
    </row>
    <row r="144" spans="1:23" x14ac:dyDescent="0.3">
      <c r="A144" s="5" t="s">
        <v>477</v>
      </c>
      <c r="B144" s="24">
        <v>6259</v>
      </c>
      <c r="D144" s="5" t="s">
        <v>477</v>
      </c>
      <c r="E144" s="24">
        <v>6259</v>
      </c>
      <c r="G144" s="5" t="s">
        <v>620</v>
      </c>
      <c r="H144" s="29">
        <v>367</v>
      </c>
    </row>
    <row r="145" spans="1:11" x14ac:dyDescent="0.3">
      <c r="A145" s="5" t="s">
        <v>479</v>
      </c>
      <c r="B145" s="29">
        <v>559</v>
      </c>
      <c r="D145" s="5" t="s">
        <v>479</v>
      </c>
      <c r="E145" s="29">
        <v>559</v>
      </c>
      <c r="G145" s="5" t="s">
        <v>488</v>
      </c>
      <c r="H145" s="29">
        <v>1748</v>
      </c>
    </row>
    <row r="146" spans="1:11" x14ac:dyDescent="0.3">
      <c r="A146" s="5" t="s">
        <v>484</v>
      </c>
      <c r="B146" s="29">
        <v>1434</v>
      </c>
      <c r="D146" s="5" t="s">
        <v>484</v>
      </c>
      <c r="E146" s="29">
        <v>1434</v>
      </c>
      <c r="G146" s="25" t="s">
        <v>617</v>
      </c>
      <c r="H146" s="29">
        <v>5944</v>
      </c>
    </row>
    <row r="147" spans="1:11" x14ac:dyDescent="0.3">
      <c r="A147" s="5" t="s">
        <v>372</v>
      </c>
      <c r="B147" s="29">
        <v>4545</v>
      </c>
      <c r="D147" s="5" t="s">
        <v>620</v>
      </c>
      <c r="E147" s="29">
        <v>367</v>
      </c>
      <c r="G147" s="5" t="s">
        <v>619</v>
      </c>
      <c r="H147" s="29">
        <v>5245</v>
      </c>
    </row>
    <row r="148" spans="1:11" x14ac:dyDescent="0.3">
      <c r="A148" s="5" t="s">
        <v>24</v>
      </c>
      <c r="B148" s="29">
        <v>367</v>
      </c>
      <c r="D148" s="5" t="s">
        <v>24</v>
      </c>
      <c r="E148" s="29">
        <v>367</v>
      </c>
      <c r="G148" s="7" t="s">
        <v>504</v>
      </c>
      <c r="H148" s="29">
        <v>210</v>
      </c>
    </row>
    <row r="149" spans="1:11" x14ac:dyDescent="0.3">
      <c r="A149" s="5" t="s">
        <v>488</v>
      </c>
      <c r="B149" s="29">
        <v>1748</v>
      </c>
      <c r="D149" s="5" t="s">
        <v>488</v>
      </c>
      <c r="E149" s="29">
        <v>1748</v>
      </c>
      <c r="G149" s="25" t="s">
        <v>618</v>
      </c>
      <c r="H149" s="29">
        <v>4126</v>
      </c>
    </row>
    <row r="150" spans="1:11" x14ac:dyDescent="0.3">
      <c r="A150" s="5" t="s">
        <v>490</v>
      </c>
      <c r="B150" s="29">
        <v>1608</v>
      </c>
      <c r="D150" s="5" t="s">
        <v>490</v>
      </c>
      <c r="E150" s="29">
        <v>1608</v>
      </c>
    </row>
    <row r="151" spans="1:11" x14ac:dyDescent="0.3">
      <c r="A151" s="5" t="s">
        <v>492</v>
      </c>
      <c r="B151" s="29">
        <v>6923</v>
      </c>
      <c r="D151" s="5" t="s">
        <v>492</v>
      </c>
      <c r="E151" s="29">
        <v>6923</v>
      </c>
    </row>
    <row r="152" spans="1:11" x14ac:dyDescent="0.3">
      <c r="A152" s="25" t="s">
        <v>617</v>
      </c>
      <c r="B152" s="29">
        <v>5944</v>
      </c>
      <c r="D152" s="25" t="s">
        <v>617</v>
      </c>
      <c r="E152" s="29">
        <v>5944</v>
      </c>
    </row>
    <row r="153" spans="1:11" x14ac:dyDescent="0.3">
      <c r="A153" s="5" t="s">
        <v>38</v>
      </c>
      <c r="B153" s="29">
        <v>507</v>
      </c>
      <c r="D153" s="5" t="s">
        <v>619</v>
      </c>
      <c r="E153" s="29">
        <v>5245</v>
      </c>
    </row>
    <row r="154" spans="1:11" x14ac:dyDescent="0.3">
      <c r="A154" s="7" t="s">
        <v>504</v>
      </c>
      <c r="B154" s="29">
        <v>210</v>
      </c>
      <c r="D154" s="7" t="s">
        <v>504</v>
      </c>
      <c r="E154" s="29">
        <v>210</v>
      </c>
    </row>
    <row r="155" spans="1:11" x14ac:dyDescent="0.3">
      <c r="A155" s="25" t="s">
        <v>618</v>
      </c>
      <c r="B155" s="29">
        <v>4126</v>
      </c>
      <c r="D155" s="25" t="s">
        <v>618</v>
      </c>
      <c r="E155" s="29">
        <v>4126</v>
      </c>
    </row>
    <row r="156" spans="1:11" x14ac:dyDescent="0.3">
      <c r="A156" s="5" t="s">
        <v>390</v>
      </c>
      <c r="B156" s="29">
        <v>3252</v>
      </c>
      <c r="D156" s="5" t="s">
        <v>390</v>
      </c>
      <c r="E156" s="29">
        <v>3252</v>
      </c>
    </row>
    <row r="157" spans="1:11" x14ac:dyDescent="0.3">
      <c r="A157" s="7" t="s">
        <v>36</v>
      </c>
      <c r="B157" s="29">
        <v>245</v>
      </c>
    </row>
    <row r="159" spans="1:11" x14ac:dyDescent="0.3">
      <c r="A159" t="s">
        <v>641</v>
      </c>
      <c r="B159" s="2" t="s">
        <v>6</v>
      </c>
      <c r="D159" t="s">
        <v>653</v>
      </c>
      <c r="E159" s="2" t="s">
        <v>6</v>
      </c>
      <c r="G159" t="s">
        <v>654</v>
      </c>
      <c r="H159" s="2" t="s">
        <v>6</v>
      </c>
      <c r="J159" t="s">
        <v>655</v>
      </c>
      <c r="K159" t="s">
        <v>6</v>
      </c>
    </row>
    <row r="160" spans="1:11" x14ac:dyDescent="0.3">
      <c r="A160" s="5" t="s">
        <v>176</v>
      </c>
      <c r="B160" s="2">
        <v>2657</v>
      </c>
      <c r="D160" s="5" t="s">
        <v>176</v>
      </c>
      <c r="E160" s="2">
        <v>2657</v>
      </c>
      <c r="G160" s="5" t="s">
        <v>176</v>
      </c>
      <c r="H160" s="2">
        <v>1049</v>
      </c>
      <c r="J160" t="s">
        <v>642</v>
      </c>
      <c r="K160" s="2">
        <v>1364</v>
      </c>
    </row>
    <row r="161" spans="1:11" x14ac:dyDescent="0.3">
      <c r="A161" t="s">
        <v>642</v>
      </c>
      <c r="B161" s="2">
        <v>2238</v>
      </c>
      <c r="D161" t="s">
        <v>642</v>
      </c>
      <c r="E161" s="2">
        <v>2238</v>
      </c>
      <c r="G161" t="s">
        <v>642</v>
      </c>
      <c r="H161" s="2">
        <v>1364</v>
      </c>
      <c r="J161" s="5" t="s">
        <v>646</v>
      </c>
      <c r="K161" s="2">
        <v>5542</v>
      </c>
    </row>
    <row r="162" spans="1:11" x14ac:dyDescent="0.3">
      <c r="A162" s="5" t="s">
        <v>643</v>
      </c>
      <c r="B162" s="2">
        <v>4510</v>
      </c>
      <c r="D162" s="21" t="s">
        <v>644</v>
      </c>
      <c r="E162" s="2">
        <v>2483</v>
      </c>
      <c r="G162" s="5" t="s">
        <v>646</v>
      </c>
      <c r="H162" s="2">
        <v>5542</v>
      </c>
      <c r="J162" s="21" t="s">
        <v>647</v>
      </c>
      <c r="K162" s="2">
        <v>1573</v>
      </c>
    </row>
    <row r="163" spans="1:11" x14ac:dyDescent="0.3">
      <c r="A163" s="21" t="s">
        <v>644</v>
      </c>
      <c r="B163" s="2">
        <v>2483</v>
      </c>
      <c r="D163" s="5" t="s">
        <v>483</v>
      </c>
      <c r="E163" s="2">
        <v>629</v>
      </c>
      <c r="G163" s="21" t="s">
        <v>647</v>
      </c>
      <c r="H163" s="2">
        <v>1573</v>
      </c>
      <c r="J163" s="21" t="s">
        <v>651</v>
      </c>
      <c r="K163" s="2">
        <v>0</v>
      </c>
    </row>
    <row r="164" spans="1:11" x14ac:dyDescent="0.3">
      <c r="A164" s="5" t="s">
        <v>483</v>
      </c>
      <c r="B164" s="2">
        <v>629</v>
      </c>
      <c r="D164" s="5" t="s">
        <v>646</v>
      </c>
      <c r="E164" s="2">
        <v>6731</v>
      </c>
      <c r="G164" s="21" t="s">
        <v>379</v>
      </c>
      <c r="H164" s="2">
        <v>2448</v>
      </c>
      <c r="J164" s="5" t="s">
        <v>390</v>
      </c>
      <c r="K164" s="2">
        <v>2447</v>
      </c>
    </row>
    <row r="165" spans="1:11" x14ac:dyDescent="0.3">
      <c r="A165" s="5" t="s">
        <v>26</v>
      </c>
      <c r="B165" s="2">
        <v>839</v>
      </c>
      <c r="D165" s="21" t="s">
        <v>647</v>
      </c>
      <c r="E165" s="2">
        <v>1573</v>
      </c>
      <c r="G165" s="21" t="s">
        <v>651</v>
      </c>
      <c r="H165" s="2">
        <v>0</v>
      </c>
      <c r="J165" s="5" t="s">
        <v>391</v>
      </c>
      <c r="K165" s="2">
        <v>944</v>
      </c>
    </row>
    <row r="166" spans="1:11" x14ac:dyDescent="0.3">
      <c r="A166" s="21" t="s">
        <v>645</v>
      </c>
      <c r="B166" s="2">
        <v>1049</v>
      </c>
      <c r="D166" s="21" t="s">
        <v>648</v>
      </c>
      <c r="E166" s="2">
        <v>629</v>
      </c>
      <c r="G166" s="7" t="s">
        <v>504</v>
      </c>
      <c r="H166" s="2">
        <v>192</v>
      </c>
      <c r="J166" s="5" t="s">
        <v>656</v>
      </c>
      <c r="K166" s="2">
        <v>612</v>
      </c>
    </row>
    <row r="167" spans="1:11" x14ac:dyDescent="0.3">
      <c r="A167" s="5" t="s">
        <v>646</v>
      </c>
      <c r="B167" s="2">
        <v>6731</v>
      </c>
      <c r="D167" s="21" t="s">
        <v>379</v>
      </c>
      <c r="E167" s="2">
        <v>2448</v>
      </c>
      <c r="G167" s="5" t="s">
        <v>390</v>
      </c>
      <c r="H167" s="2">
        <v>2447</v>
      </c>
      <c r="J167" s="5" t="s">
        <v>657</v>
      </c>
      <c r="K167" s="2">
        <v>0</v>
      </c>
    </row>
    <row r="168" spans="1:11" x14ac:dyDescent="0.3">
      <c r="A168" s="21" t="s">
        <v>647</v>
      </c>
      <c r="B168" s="2">
        <v>1573</v>
      </c>
      <c r="D168" s="21" t="s">
        <v>651</v>
      </c>
      <c r="E168" s="2">
        <v>0</v>
      </c>
      <c r="G168" s="5" t="s">
        <v>391</v>
      </c>
      <c r="H168" s="2">
        <v>944</v>
      </c>
      <c r="J168" s="5" t="s">
        <v>658</v>
      </c>
      <c r="K168" s="2">
        <v>2308</v>
      </c>
    </row>
    <row r="169" spans="1:11" x14ac:dyDescent="0.3">
      <c r="A169" s="21" t="s">
        <v>648</v>
      </c>
      <c r="B169" s="2">
        <v>629</v>
      </c>
      <c r="D169" s="7" t="s">
        <v>504</v>
      </c>
      <c r="E169" s="2">
        <v>192</v>
      </c>
    </row>
    <row r="170" spans="1:11" x14ac:dyDescent="0.3">
      <c r="A170" s="21" t="s">
        <v>649</v>
      </c>
      <c r="B170" s="2">
        <v>699</v>
      </c>
      <c r="D170" s="5" t="s">
        <v>390</v>
      </c>
      <c r="E170" s="2">
        <v>2447</v>
      </c>
    </row>
    <row r="171" spans="1:11" x14ac:dyDescent="0.3">
      <c r="A171" s="21" t="s">
        <v>379</v>
      </c>
      <c r="B171" s="2">
        <v>2448</v>
      </c>
      <c r="D171" s="5" t="s">
        <v>391</v>
      </c>
      <c r="E171" s="2">
        <v>944</v>
      </c>
    </row>
    <row r="172" spans="1:11" x14ac:dyDescent="0.3">
      <c r="A172" s="21" t="s">
        <v>650</v>
      </c>
      <c r="B172" s="2">
        <v>542</v>
      </c>
    </row>
    <row r="173" spans="1:11" x14ac:dyDescent="0.3">
      <c r="A173" s="21" t="s">
        <v>651</v>
      </c>
      <c r="B173" s="2">
        <v>0</v>
      </c>
    </row>
    <row r="174" spans="1:11" x14ac:dyDescent="0.3">
      <c r="A174" s="21" t="s">
        <v>652</v>
      </c>
      <c r="B174" s="2">
        <v>4825</v>
      </c>
    </row>
    <row r="175" spans="1:11" x14ac:dyDescent="0.3">
      <c r="A175" s="5" t="s">
        <v>38</v>
      </c>
      <c r="B175" s="2">
        <v>594</v>
      </c>
    </row>
    <row r="176" spans="1:11" x14ac:dyDescent="0.3">
      <c r="A176" s="7" t="s">
        <v>504</v>
      </c>
      <c r="B176" s="2">
        <v>192</v>
      </c>
    </row>
    <row r="177" spans="1:23" x14ac:dyDescent="0.3">
      <c r="A177" s="5" t="s">
        <v>390</v>
      </c>
      <c r="B177" s="2">
        <v>2447</v>
      </c>
    </row>
    <row r="178" spans="1:23" x14ac:dyDescent="0.3">
      <c r="A178" s="5" t="s">
        <v>391</v>
      </c>
      <c r="B178" s="2">
        <v>944</v>
      </c>
    </row>
    <row r="181" spans="1:23" x14ac:dyDescent="0.3">
      <c r="A181" t="s">
        <v>704</v>
      </c>
      <c r="B181" s="2" t="s">
        <v>6</v>
      </c>
      <c r="D181" t="s">
        <v>717</v>
      </c>
      <c r="E181" s="2" t="s">
        <v>6</v>
      </c>
      <c r="G181" t="s">
        <v>718</v>
      </c>
      <c r="H181" s="2" t="s">
        <v>6</v>
      </c>
      <c r="J181" t="s">
        <v>722</v>
      </c>
      <c r="K181" t="s">
        <v>6</v>
      </c>
      <c r="M181" t="s">
        <v>723</v>
      </c>
      <c r="N181" t="s">
        <v>6</v>
      </c>
      <c r="P181" t="s">
        <v>724</v>
      </c>
      <c r="Q181" t="s">
        <v>6</v>
      </c>
      <c r="S181" t="s">
        <v>726</v>
      </c>
      <c r="T181" t="s">
        <v>6</v>
      </c>
      <c r="V181" t="s">
        <v>1060</v>
      </c>
      <c r="W181" t="s">
        <v>6</v>
      </c>
    </row>
    <row r="182" spans="1:23" x14ac:dyDescent="0.3">
      <c r="A182" s="2" t="s">
        <v>22</v>
      </c>
      <c r="B182" s="2">
        <v>3217</v>
      </c>
      <c r="D182" s="2" t="s">
        <v>22</v>
      </c>
      <c r="E182" s="2">
        <v>3217</v>
      </c>
      <c r="G182" s="2" t="s">
        <v>176</v>
      </c>
      <c r="H182" s="2">
        <v>4336</v>
      </c>
      <c r="J182" s="2" t="s">
        <v>176</v>
      </c>
      <c r="K182" s="2">
        <v>4336</v>
      </c>
      <c r="M182" s="2" t="s">
        <v>176</v>
      </c>
      <c r="N182" s="2">
        <v>4336</v>
      </c>
      <c r="P182" s="2" t="s">
        <v>176</v>
      </c>
      <c r="Q182" s="2">
        <v>4336</v>
      </c>
      <c r="S182" s="29" t="s">
        <v>707</v>
      </c>
      <c r="T182" s="2">
        <v>350</v>
      </c>
      <c r="V182" s="2" t="s">
        <v>176</v>
      </c>
      <c r="W182" s="2">
        <v>4336</v>
      </c>
    </row>
    <row r="183" spans="1:23" x14ac:dyDescent="0.3">
      <c r="A183" s="2" t="s">
        <v>296</v>
      </c>
      <c r="B183" s="2">
        <v>3846</v>
      </c>
      <c r="D183" s="2" t="s">
        <v>296</v>
      </c>
      <c r="E183" s="2">
        <v>3846</v>
      </c>
      <c r="G183" s="2" t="s">
        <v>296</v>
      </c>
      <c r="H183" s="2">
        <v>3846</v>
      </c>
      <c r="J183" s="2" t="s">
        <v>296</v>
      </c>
      <c r="K183" s="2">
        <v>3846</v>
      </c>
      <c r="M183" s="2" t="s">
        <v>296</v>
      </c>
      <c r="N183" s="2">
        <v>3846</v>
      </c>
      <c r="P183" s="37" t="s">
        <v>725</v>
      </c>
      <c r="Q183" s="2">
        <v>13776</v>
      </c>
      <c r="S183" s="33" t="s">
        <v>24</v>
      </c>
      <c r="T183" s="2">
        <v>455</v>
      </c>
      <c r="V183" s="33" t="s">
        <v>643</v>
      </c>
      <c r="W183" s="2">
        <v>3986</v>
      </c>
    </row>
    <row r="184" spans="1:23" x14ac:dyDescent="0.3">
      <c r="A184" s="33" t="s">
        <v>643</v>
      </c>
      <c r="B184" s="2">
        <v>5455</v>
      </c>
      <c r="D184" s="33" t="s">
        <v>643</v>
      </c>
      <c r="E184" s="2">
        <v>5455</v>
      </c>
      <c r="G184" s="33" t="s">
        <v>643</v>
      </c>
      <c r="H184" s="2">
        <v>3986</v>
      </c>
      <c r="J184" s="33" t="s">
        <v>643</v>
      </c>
      <c r="K184" s="2">
        <v>3986</v>
      </c>
      <c r="M184" s="33" t="s">
        <v>643</v>
      </c>
      <c r="N184" s="2">
        <v>3986</v>
      </c>
      <c r="P184" s="33" t="s">
        <v>643</v>
      </c>
      <c r="Q184" s="2">
        <v>3986</v>
      </c>
      <c r="S184" s="29" t="s">
        <v>710</v>
      </c>
      <c r="T184" s="2">
        <v>3706</v>
      </c>
      <c r="V184" s="29" t="s">
        <v>478</v>
      </c>
      <c r="W184" s="2">
        <v>1119</v>
      </c>
    </row>
    <row r="185" spans="1:23" x14ac:dyDescent="0.3">
      <c r="A185" s="29" t="s">
        <v>705</v>
      </c>
      <c r="B185" s="2">
        <v>3216</v>
      </c>
      <c r="D185" s="29" t="s">
        <v>705</v>
      </c>
      <c r="E185" s="2">
        <v>3216</v>
      </c>
      <c r="G185" s="29" t="s">
        <v>478</v>
      </c>
      <c r="H185" s="2">
        <v>1119</v>
      </c>
      <c r="J185" s="29" t="s">
        <v>478</v>
      </c>
      <c r="K185" s="2">
        <v>1119</v>
      </c>
      <c r="M185" s="29" t="s">
        <v>478</v>
      </c>
      <c r="N185" s="2">
        <v>1119</v>
      </c>
      <c r="P185" s="29" t="s">
        <v>478</v>
      </c>
      <c r="Q185" s="2">
        <v>1119</v>
      </c>
      <c r="S185" s="29" t="s">
        <v>712</v>
      </c>
      <c r="T185" s="2">
        <v>664</v>
      </c>
      <c r="V185" s="29" t="s">
        <v>719</v>
      </c>
      <c r="W185" s="2">
        <v>3706</v>
      </c>
    </row>
    <row r="186" spans="1:23" x14ac:dyDescent="0.3">
      <c r="A186" s="29" t="s">
        <v>478</v>
      </c>
      <c r="B186" s="2">
        <v>1119</v>
      </c>
      <c r="D186" s="29" t="s">
        <v>478</v>
      </c>
      <c r="E186" s="2">
        <v>1119</v>
      </c>
      <c r="G186" s="29" t="s">
        <v>719</v>
      </c>
      <c r="H186" s="2">
        <v>6958</v>
      </c>
      <c r="J186" s="29" t="s">
        <v>719</v>
      </c>
      <c r="K186" s="2">
        <v>6958</v>
      </c>
      <c r="M186" s="29" t="s">
        <v>719</v>
      </c>
      <c r="N186" s="2">
        <v>6958</v>
      </c>
      <c r="P186" s="29" t="s">
        <v>719</v>
      </c>
      <c r="Q186" s="2">
        <v>3706</v>
      </c>
      <c r="S186" s="33" t="s">
        <v>619</v>
      </c>
      <c r="T186" s="2">
        <v>7552</v>
      </c>
      <c r="V186" s="33" t="s">
        <v>483</v>
      </c>
      <c r="W186" s="2">
        <v>839</v>
      </c>
    </row>
    <row r="187" spans="1:23" x14ac:dyDescent="0.3">
      <c r="A187" s="29" t="s">
        <v>706</v>
      </c>
      <c r="B187" s="2">
        <v>1259</v>
      </c>
      <c r="D187" s="29" t="s">
        <v>706</v>
      </c>
      <c r="E187" s="2">
        <v>1259</v>
      </c>
      <c r="G187" s="33" t="s">
        <v>483</v>
      </c>
      <c r="H187" s="2">
        <v>839</v>
      </c>
      <c r="J187" s="33" t="s">
        <v>483</v>
      </c>
      <c r="K187" s="2">
        <v>839</v>
      </c>
      <c r="M187" s="33" t="s">
        <v>483</v>
      </c>
      <c r="N187" s="2">
        <v>839</v>
      </c>
      <c r="P187" s="33" t="s">
        <v>483</v>
      </c>
      <c r="Q187" s="2">
        <v>839</v>
      </c>
      <c r="S187" s="34" t="s">
        <v>727</v>
      </c>
      <c r="T187" s="2">
        <v>18112</v>
      </c>
      <c r="V187" s="29" t="s">
        <v>707</v>
      </c>
      <c r="W187" s="2">
        <v>350</v>
      </c>
    </row>
    <row r="188" spans="1:23" x14ac:dyDescent="0.3">
      <c r="A188" s="33" t="s">
        <v>483</v>
      </c>
      <c r="B188" s="2">
        <v>839</v>
      </c>
      <c r="D188" s="33" t="s">
        <v>483</v>
      </c>
      <c r="E188" s="2">
        <v>839</v>
      </c>
      <c r="G188" s="29" t="s">
        <v>707</v>
      </c>
      <c r="H188" s="2">
        <v>350</v>
      </c>
      <c r="J188" s="29" t="s">
        <v>707</v>
      </c>
      <c r="K188" s="2">
        <v>350</v>
      </c>
      <c r="M188" s="29" t="s">
        <v>707</v>
      </c>
      <c r="N188" s="2">
        <v>350</v>
      </c>
      <c r="P188" s="29" t="s">
        <v>707</v>
      </c>
      <c r="Q188" s="2">
        <v>350</v>
      </c>
      <c r="S188" s="29" t="s">
        <v>728</v>
      </c>
      <c r="T188" s="2">
        <v>2447</v>
      </c>
      <c r="V188" s="33" t="s">
        <v>24</v>
      </c>
      <c r="W188" s="2">
        <v>455</v>
      </c>
    </row>
    <row r="189" spans="1:23" x14ac:dyDescent="0.3">
      <c r="A189" s="29" t="s">
        <v>707</v>
      </c>
      <c r="B189" s="2">
        <v>350</v>
      </c>
      <c r="D189" s="29" t="s">
        <v>707</v>
      </c>
      <c r="E189" s="2">
        <v>350</v>
      </c>
      <c r="G189" s="33" t="s">
        <v>24</v>
      </c>
      <c r="H189" s="2">
        <v>455</v>
      </c>
      <c r="J189" s="33" t="s">
        <v>24</v>
      </c>
      <c r="K189" s="2">
        <v>455</v>
      </c>
      <c r="M189" s="33" t="s">
        <v>24</v>
      </c>
      <c r="N189" s="2">
        <v>455</v>
      </c>
      <c r="P189" s="33" t="s">
        <v>24</v>
      </c>
      <c r="Q189" s="2">
        <v>455</v>
      </c>
      <c r="S189" s="37" t="s">
        <v>19</v>
      </c>
      <c r="T189" s="2">
        <v>1818</v>
      </c>
      <c r="V189" s="29" t="s">
        <v>720</v>
      </c>
      <c r="W189" s="2">
        <v>699</v>
      </c>
    </row>
    <row r="190" spans="1:23" x14ac:dyDescent="0.3">
      <c r="A190" s="33" t="s">
        <v>24</v>
      </c>
      <c r="B190" s="2">
        <v>455</v>
      </c>
      <c r="D190" s="33" t="s">
        <v>24</v>
      </c>
      <c r="E190" s="2">
        <v>455</v>
      </c>
      <c r="G190" s="29" t="s">
        <v>720</v>
      </c>
      <c r="H190" s="2">
        <v>699</v>
      </c>
      <c r="J190" s="29" t="s">
        <v>720</v>
      </c>
      <c r="K190" s="2">
        <v>699</v>
      </c>
      <c r="M190" s="29" t="s">
        <v>720</v>
      </c>
      <c r="N190" s="2">
        <v>699</v>
      </c>
      <c r="P190" s="29" t="s">
        <v>720</v>
      </c>
      <c r="Q190" s="2">
        <v>699</v>
      </c>
      <c r="V190" s="33" t="s">
        <v>26</v>
      </c>
      <c r="W190" s="2">
        <v>1049</v>
      </c>
    </row>
    <row r="191" spans="1:23" x14ac:dyDescent="0.3">
      <c r="A191" s="29" t="s">
        <v>708</v>
      </c>
      <c r="B191" s="2">
        <v>2028</v>
      </c>
      <c r="D191" s="29" t="s">
        <v>708</v>
      </c>
      <c r="E191" s="2">
        <v>2028</v>
      </c>
      <c r="G191" s="33" t="s">
        <v>26</v>
      </c>
      <c r="H191" s="2">
        <v>1049</v>
      </c>
      <c r="J191" s="33" t="s">
        <v>26</v>
      </c>
      <c r="K191" s="2">
        <v>1049</v>
      </c>
      <c r="M191" s="33" t="s">
        <v>26</v>
      </c>
      <c r="N191" s="2">
        <v>1049</v>
      </c>
      <c r="P191" s="33" t="s">
        <v>26</v>
      </c>
      <c r="Q191" s="2">
        <v>1049</v>
      </c>
      <c r="V191" s="29" t="s">
        <v>709</v>
      </c>
      <c r="W191" s="2">
        <v>1049</v>
      </c>
    </row>
    <row r="192" spans="1:23" x14ac:dyDescent="0.3">
      <c r="A192" s="33" t="s">
        <v>26</v>
      </c>
      <c r="B192" s="2">
        <v>1049</v>
      </c>
      <c r="D192" s="33" t="s">
        <v>26</v>
      </c>
      <c r="E192" s="2">
        <v>1049</v>
      </c>
      <c r="G192" s="29" t="s">
        <v>709</v>
      </c>
      <c r="H192" s="2">
        <v>1049</v>
      </c>
      <c r="J192" s="29" t="s">
        <v>709</v>
      </c>
      <c r="K192" s="2">
        <v>1049</v>
      </c>
      <c r="M192" s="29" t="s">
        <v>709</v>
      </c>
      <c r="N192" s="2">
        <v>1049</v>
      </c>
      <c r="P192" s="29" t="s">
        <v>709</v>
      </c>
      <c r="Q192" s="2">
        <v>1049</v>
      </c>
      <c r="V192" t="s">
        <v>721</v>
      </c>
      <c r="W192" s="2">
        <v>1468</v>
      </c>
    </row>
    <row r="193" spans="1:23" x14ac:dyDescent="0.3">
      <c r="A193" s="29" t="s">
        <v>709</v>
      </c>
      <c r="B193" s="2">
        <v>1049</v>
      </c>
      <c r="D193" s="29" t="s">
        <v>709</v>
      </c>
      <c r="E193" s="2">
        <v>1049</v>
      </c>
      <c r="G193" t="s">
        <v>721</v>
      </c>
      <c r="H193" s="2">
        <v>1468</v>
      </c>
      <c r="J193" t="s">
        <v>721</v>
      </c>
      <c r="K193" s="2">
        <v>1468</v>
      </c>
      <c r="M193" t="s">
        <v>721</v>
      </c>
      <c r="N193" s="2">
        <v>1468</v>
      </c>
      <c r="P193" t="s">
        <v>721</v>
      </c>
      <c r="Q193" s="2">
        <v>1468</v>
      </c>
      <c r="V193" s="29" t="s">
        <v>710</v>
      </c>
      <c r="W193" s="2">
        <v>3706</v>
      </c>
    </row>
    <row r="194" spans="1:23" x14ac:dyDescent="0.3">
      <c r="A194" s="33" t="s">
        <v>33</v>
      </c>
      <c r="B194" s="24">
        <v>1538</v>
      </c>
      <c r="D194" s="33" t="s">
        <v>33</v>
      </c>
      <c r="E194" s="24">
        <v>1538</v>
      </c>
      <c r="G194" s="33" t="s">
        <v>33</v>
      </c>
      <c r="H194" s="24">
        <v>1538</v>
      </c>
      <c r="J194" s="33" t="s">
        <v>33</v>
      </c>
      <c r="K194" s="24">
        <v>1538</v>
      </c>
      <c r="M194" s="33" t="s">
        <v>33</v>
      </c>
      <c r="N194" s="24">
        <v>1538</v>
      </c>
      <c r="P194" s="29" t="s">
        <v>710</v>
      </c>
      <c r="Q194" s="2">
        <v>3706</v>
      </c>
      <c r="V194" s="29" t="s">
        <v>711</v>
      </c>
      <c r="W194" s="2">
        <v>1993</v>
      </c>
    </row>
    <row r="195" spans="1:23" x14ac:dyDescent="0.3">
      <c r="A195" s="29" t="s">
        <v>710</v>
      </c>
      <c r="B195" s="2">
        <v>3706</v>
      </c>
      <c r="D195" s="29" t="s">
        <v>710</v>
      </c>
      <c r="E195" s="2">
        <v>3706</v>
      </c>
      <c r="G195" s="29" t="s">
        <v>710</v>
      </c>
      <c r="H195" s="2">
        <v>3706</v>
      </c>
      <c r="J195" s="29" t="s">
        <v>710</v>
      </c>
      <c r="K195" s="2">
        <v>3706</v>
      </c>
      <c r="M195" s="29" t="s">
        <v>710</v>
      </c>
      <c r="N195" s="2">
        <v>3706</v>
      </c>
      <c r="P195" s="29" t="s">
        <v>711</v>
      </c>
      <c r="Q195" s="2">
        <v>1993</v>
      </c>
      <c r="V195" s="29" t="s">
        <v>712</v>
      </c>
      <c r="W195" s="2">
        <v>664</v>
      </c>
    </row>
    <row r="196" spans="1:23" x14ac:dyDescent="0.3">
      <c r="A196" s="29" t="s">
        <v>711</v>
      </c>
      <c r="B196" s="2">
        <v>1993</v>
      </c>
      <c r="D196" s="29" t="s">
        <v>711</v>
      </c>
      <c r="E196" s="2">
        <v>1993</v>
      </c>
      <c r="G196" s="29" t="s">
        <v>711</v>
      </c>
      <c r="H196" s="2">
        <v>1993</v>
      </c>
      <c r="J196" s="29" t="s">
        <v>711</v>
      </c>
      <c r="K196" s="2">
        <v>1993</v>
      </c>
      <c r="M196" s="29" t="s">
        <v>711</v>
      </c>
      <c r="N196" s="2">
        <v>1993</v>
      </c>
      <c r="P196" s="29" t="s">
        <v>712</v>
      </c>
      <c r="Q196" s="2">
        <v>664</v>
      </c>
      <c r="V196" s="29" t="s">
        <v>713</v>
      </c>
      <c r="W196" s="2">
        <v>0</v>
      </c>
    </row>
    <row r="197" spans="1:23" x14ac:dyDescent="0.3">
      <c r="A197" s="29" t="s">
        <v>712</v>
      </c>
      <c r="B197" s="2">
        <v>664</v>
      </c>
      <c r="D197" s="29" t="s">
        <v>712</v>
      </c>
      <c r="E197" s="2">
        <v>664</v>
      </c>
      <c r="G197" s="29" t="s">
        <v>712</v>
      </c>
      <c r="H197" s="2">
        <v>664</v>
      </c>
      <c r="J197" s="29" t="s">
        <v>712</v>
      </c>
      <c r="K197" s="2">
        <v>664</v>
      </c>
      <c r="M197" s="29" t="s">
        <v>712</v>
      </c>
      <c r="N197" s="2">
        <v>664</v>
      </c>
      <c r="P197" s="29" t="s">
        <v>713</v>
      </c>
      <c r="Q197" s="2">
        <v>0</v>
      </c>
      <c r="V197" s="29" t="s">
        <v>714</v>
      </c>
      <c r="W197" s="2">
        <v>839</v>
      </c>
    </row>
    <row r="198" spans="1:23" x14ac:dyDescent="0.3">
      <c r="A198" s="29" t="s">
        <v>713</v>
      </c>
      <c r="B198" s="2">
        <v>0</v>
      </c>
      <c r="D198" s="29" t="s">
        <v>713</v>
      </c>
      <c r="E198" s="2">
        <v>0</v>
      </c>
      <c r="G198" s="29" t="s">
        <v>713</v>
      </c>
      <c r="H198" s="2">
        <v>0</v>
      </c>
      <c r="J198" s="29" t="s">
        <v>713</v>
      </c>
      <c r="K198" s="2">
        <v>0</v>
      </c>
      <c r="M198" s="29" t="s">
        <v>714</v>
      </c>
      <c r="N198" s="2">
        <v>3147</v>
      </c>
      <c r="P198" s="29" t="s">
        <v>714</v>
      </c>
      <c r="Q198" s="2">
        <v>839</v>
      </c>
      <c r="V198" s="33" t="s">
        <v>38</v>
      </c>
      <c r="W198" s="2">
        <v>594</v>
      </c>
    </row>
    <row r="199" spans="1:23" x14ac:dyDescent="0.3">
      <c r="A199" s="29" t="s">
        <v>714</v>
      </c>
      <c r="B199" s="2">
        <v>3147</v>
      </c>
      <c r="D199" s="29" t="s">
        <v>714</v>
      </c>
      <c r="E199" s="2">
        <v>3147</v>
      </c>
      <c r="G199" s="29" t="s">
        <v>714</v>
      </c>
      <c r="H199" s="2">
        <v>3147</v>
      </c>
      <c r="J199" s="29" t="s">
        <v>714</v>
      </c>
      <c r="K199" s="2">
        <v>3147</v>
      </c>
      <c r="M199" s="29" t="s">
        <v>715</v>
      </c>
      <c r="N199" s="2">
        <v>2238</v>
      </c>
      <c r="P199" s="33" t="s">
        <v>38</v>
      </c>
      <c r="Q199" s="2">
        <v>594</v>
      </c>
      <c r="V199" s="34" t="s">
        <v>504</v>
      </c>
      <c r="W199" s="2">
        <v>210</v>
      </c>
    </row>
    <row r="200" spans="1:23" x14ac:dyDescent="0.3">
      <c r="A200" s="29" t="s">
        <v>715</v>
      </c>
      <c r="B200" s="2">
        <v>2238</v>
      </c>
      <c r="D200" s="29" t="s">
        <v>715</v>
      </c>
      <c r="E200" s="2">
        <v>2238</v>
      </c>
      <c r="G200" s="29" t="s">
        <v>715</v>
      </c>
      <c r="H200" s="2">
        <v>2238</v>
      </c>
      <c r="J200" s="29" t="s">
        <v>715</v>
      </c>
      <c r="K200" s="2">
        <v>2238</v>
      </c>
      <c r="M200" s="33" t="s">
        <v>38</v>
      </c>
      <c r="N200" s="2">
        <v>594</v>
      </c>
      <c r="P200" s="34" t="s">
        <v>504</v>
      </c>
      <c r="Q200" s="2">
        <v>210</v>
      </c>
      <c r="V200" s="29" t="s">
        <v>716</v>
      </c>
      <c r="W200" s="2">
        <v>3356</v>
      </c>
    </row>
    <row r="201" spans="1:23" x14ac:dyDescent="0.3">
      <c r="A201" s="33" t="s">
        <v>38</v>
      </c>
      <c r="B201" s="2">
        <v>594</v>
      </c>
      <c r="D201" s="33" t="s">
        <v>38</v>
      </c>
      <c r="E201" s="2">
        <v>594</v>
      </c>
      <c r="G201" s="33" t="s">
        <v>38</v>
      </c>
      <c r="H201" s="2">
        <v>594</v>
      </c>
      <c r="J201" s="33" t="s">
        <v>38</v>
      </c>
      <c r="K201" s="2">
        <v>594</v>
      </c>
      <c r="M201" s="34" t="s">
        <v>504</v>
      </c>
      <c r="N201" s="2">
        <v>210</v>
      </c>
      <c r="P201" s="29" t="s">
        <v>716</v>
      </c>
      <c r="Q201" s="2">
        <v>3356</v>
      </c>
    </row>
    <row r="202" spans="1:23" x14ac:dyDescent="0.3">
      <c r="A202" s="34" t="s">
        <v>504</v>
      </c>
      <c r="B202" s="2">
        <v>210</v>
      </c>
      <c r="D202" s="34" t="s">
        <v>504</v>
      </c>
      <c r="E202" s="2">
        <v>210</v>
      </c>
      <c r="G202" s="34" t="s">
        <v>504</v>
      </c>
      <c r="H202" s="2">
        <v>210</v>
      </c>
      <c r="J202" s="34" t="s">
        <v>504</v>
      </c>
      <c r="K202" s="2">
        <v>210</v>
      </c>
    </row>
    <row r="203" spans="1:23" x14ac:dyDescent="0.3">
      <c r="A203" s="29" t="s">
        <v>716</v>
      </c>
      <c r="B203" s="2">
        <v>3356</v>
      </c>
      <c r="D203" s="29" t="s">
        <v>716</v>
      </c>
      <c r="E203" s="2">
        <v>3356</v>
      </c>
      <c r="G203" s="29" t="s">
        <v>716</v>
      </c>
      <c r="H203" s="2">
        <v>3356</v>
      </c>
      <c r="J203" s="29" t="s">
        <v>716</v>
      </c>
      <c r="K203" s="2">
        <v>3356</v>
      </c>
    </row>
    <row r="206" spans="1:23" x14ac:dyDescent="0.3">
      <c r="A206" t="s">
        <v>796</v>
      </c>
      <c r="B206" s="2" t="s">
        <v>6</v>
      </c>
      <c r="D206" t="s">
        <v>802</v>
      </c>
      <c r="E206" s="2" t="s">
        <v>6</v>
      </c>
      <c r="G206" t="s">
        <v>805</v>
      </c>
      <c r="H206" s="2" t="s">
        <v>6</v>
      </c>
      <c r="J206" t="s">
        <v>806</v>
      </c>
      <c r="K206" t="s">
        <v>6</v>
      </c>
    </row>
    <row r="207" spans="1:23" x14ac:dyDescent="0.3">
      <c r="A207" t="s">
        <v>797</v>
      </c>
      <c r="B207" s="2">
        <v>2440</v>
      </c>
      <c r="D207" t="s">
        <v>803</v>
      </c>
      <c r="E207" s="2">
        <v>2440</v>
      </c>
      <c r="G207" s="5" t="s">
        <v>803</v>
      </c>
      <c r="H207" s="24">
        <v>2440</v>
      </c>
      <c r="J207" t="s">
        <v>807</v>
      </c>
      <c r="K207" s="2">
        <v>7552</v>
      </c>
    </row>
    <row r="208" spans="1:23" x14ac:dyDescent="0.3">
      <c r="A208" t="s">
        <v>22</v>
      </c>
      <c r="B208" s="2">
        <v>1678</v>
      </c>
      <c r="D208" s="5" t="s">
        <v>22</v>
      </c>
      <c r="E208" s="2">
        <v>1259</v>
      </c>
      <c r="G208" s="5" t="s">
        <v>800</v>
      </c>
      <c r="H208" s="24">
        <v>664</v>
      </c>
      <c r="J208" s="5" t="s">
        <v>800</v>
      </c>
      <c r="K208" s="24">
        <v>664</v>
      </c>
    </row>
    <row r="209" spans="1:11" x14ac:dyDescent="0.3">
      <c r="A209" s="35" t="s">
        <v>26</v>
      </c>
      <c r="B209" s="2">
        <v>979</v>
      </c>
      <c r="D209" s="21" t="s">
        <v>804</v>
      </c>
      <c r="E209" s="2">
        <v>2727</v>
      </c>
      <c r="G209" s="35" t="s">
        <v>707</v>
      </c>
      <c r="H209" s="24">
        <v>350</v>
      </c>
      <c r="J209" s="35" t="s">
        <v>707</v>
      </c>
      <c r="K209" s="24">
        <v>350</v>
      </c>
    </row>
    <row r="210" spans="1:11" x14ac:dyDescent="0.3">
      <c r="A210" t="s">
        <v>798</v>
      </c>
      <c r="B210" s="2">
        <v>769</v>
      </c>
      <c r="D210" s="5" t="s">
        <v>798</v>
      </c>
      <c r="E210" s="24">
        <v>769</v>
      </c>
      <c r="G210" s="35" t="s">
        <v>713</v>
      </c>
      <c r="H210" s="24">
        <v>0</v>
      </c>
      <c r="J210" s="21" t="s">
        <v>808</v>
      </c>
      <c r="K210" s="2">
        <v>0</v>
      </c>
    </row>
    <row r="211" spans="1:11" x14ac:dyDescent="0.3">
      <c r="A211" s="5" t="s">
        <v>799</v>
      </c>
      <c r="B211" s="2">
        <v>1468</v>
      </c>
      <c r="D211" s="5" t="s">
        <v>799</v>
      </c>
      <c r="E211" s="24">
        <v>1468</v>
      </c>
      <c r="G211" s="35" t="s">
        <v>38</v>
      </c>
      <c r="H211" s="24">
        <v>594</v>
      </c>
      <c r="J211" s="21" t="s">
        <v>809</v>
      </c>
      <c r="K211" s="2">
        <v>12238</v>
      </c>
    </row>
    <row r="212" spans="1:11" x14ac:dyDescent="0.3">
      <c r="A212" s="35" t="s">
        <v>711</v>
      </c>
      <c r="B212" s="2">
        <v>1993</v>
      </c>
      <c r="D212" s="35" t="s">
        <v>711</v>
      </c>
      <c r="E212" s="24">
        <v>1993</v>
      </c>
      <c r="G212" s="36" t="s">
        <v>39</v>
      </c>
      <c r="H212" s="24">
        <v>210</v>
      </c>
      <c r="J212" s="21" t="s">
        <v>810</v>
      </c>
      <c r="K212" s="2">
        <v>2448</v>
      </c>
    </row>
    <row r="213" spans="1:11" x14ac:dyDescent="0.3">
      <c r="A213" s="5" t="s">
        <v>800</v>
      </c>
      <c r="B213" s="2">
        <v>664</v>
      </c>
      <c r="D213" s="5" t="s">
        <v>800</v>
      </c>
      <c r="E213" s="24">
        <v>664</v>
      </c>
      <c r="G213" s="5" t="s">
        <v>493</v>
      </c>
      <c r="H213" s="24">
        <v>769</v>
      </c>
    </row>
    <row r="214" spans="1:11" x14ac:dyDescent="0.3">
      <c r="A214" s="35" t="s">
        <v>707</v>
      </c>
      <c r="B214" s="2">
        <v>350</v>
      </c>
      <c r="D214" s="35" t="s">
        <v>707</v>
      </c>
      <c r="E214" s="24">
        <v>350</v>
      </c>
    </row>
    <row r="215" spans="1:11" x14ac:dyDescent="0.3">
      <c r="A215" s="35" t="s">
        <v>483</v>
      </c>
      <c r="B215" s="2">
        <v>839</v>
      </c>
      <c r="D215" s="35" t="s">
        <v>483</v>
      </c>
      <c r="E215" s="24">
        <v>839</v>
      </c>
    </row>
    <row r="216" spans="1:11" x14ac:dyDescent="0.3">
      <c r="A216" s="38" t="s">
        <v>801</v>
      </c>
      <c r="B216" s="2">
        <v>0</v>
      </c>
      <c r="D216" s="35" t="s">
        <v>801</v>
      </c>
      <c r="E216" s="24">
        <v>0</v>
      </c>
    </row>
    <row r="217" spans="1:11" x14ac:dyDescent="0.3">
      <c r="A217" s="35" t="s">
        <v>713</v>
      </c>
      <c r="B217" s="2">
        <v>0</v>
      </c>
      <c r="D217" s="35" t="s">
        <v>713</v>
      </c>
      <c r="E217" s="24">
        <v>0</v>
      </c>
    </row>
    <row r="218" spans="1:11" x14ac:dyDescent="0.3">
      <c r="A218" s="35" t="s">
        <v>38</v>
      </c>
      <c r="B218" s="2">
        <v>594</v>
      </c>
      <c r="D218" s="35" t="s">
        <v>38</v>
      </c>
      <c r="E218" s="24">
        <v>594</v>
      </c>
    </row>
    <row r="219" spans="1:11" x14ac:dyDescent="0.3">
      <c r="A219" s="36" t="s">
        <v>39</v>
      </c>
      <c r="B219" s="2">
        <v>210</v>
      </c>
      <c r="D219" s="36" t="s">
        <v>39</v>
      </c>
      <c r="E219" s="24">
        <v>210</v>
      </c>
    </row>
    <row r="220" spans="1:11" x14ac:dyDescent="0.3">
      <c r="A220" s="5" t="s">
        <v>493</v>
      </c>
      <c r="B220" s="2">
        <v>769</v>
      </c>
      <c r="D220" s="5" t="s">
        <v>493</v>
      </c>
      <c r="E220" s="24">
        <v>769</v>
      </c>
    </row>
    <row r="223" spans="1:11" x14ac:dyDescent="0.3">
      <c r="A223" s="11" t="s">
        <v>796</v>
      </c>
      <c r="B223" s="2" t="s">
        <v>6</v>
      </c>
      <c r="D223" t="s">
        <v>805</v>
      </c>
      <c r="E223" s="2" t="s">
        <v>6</v>
      </c>
    </row>
    <row r="224" spans="1:11" x14ac:dyDescent="0.3">
      <c r="A224" s="15" t="s">
        <v>22</v>
      </c>
      <c r="B224" s="24">
        <v>1678</v>
      </c>
      <c r="D224" s="5" t="s">
        <v>800</v>
      </c>
      <c r="E224" s="24">
        <v>664</v>
      </c>
    </row>
    <row r="225" spans="1:32" x14ac:dyDescent="0.3">
      <c r="A225" s="15" t="s">
        <v>799</v>
      </c>
      <c r="B225" s="24">
        <v>1468</v>
      </c>
      <c r="D225" s="35" t="s">
        <v>713</v>
      </c>
      <c r="E225" s="24">
        <v>0</v>
      </c>
    </row>
    <row r="226" spans="1:32" x14ac:dyDescent="0.3">
      <c r="A226" s="12" t="s">
        <v>711</v>
      </c>
      <c r="B226" s="24">
        <v>1993</v>
      </c>
      <c r="D226" s="35" t="s">
        <v>38</v>
      </c>
      <c r="E226" s="24">
        <v>594</v>
      </c>
    </row>
    <row r="227" spans="1:32" x14ac:dyDescent="0.3">
      <c r="A227" s="15" t="s">
        <v>800</v>
      </c>
      <c r="B227" s="24">
        <v>664</v>
      </c>
      <c r="D227" s="35" t="s">
        <v>39</v>
      </c>
      <c r="E227" s="24">
        <v>210</v>
      </c>
    </row>
    <row r="228" spans="1:32" x14ac:dyDescent="0.3">
      <c r="A228" s="12" t="s">
        <v>483</v>
      </c>
      <c r="B228" s="24">
        <v>839</v>
      </c>
    </row>
    <row r="229" spans="1:32" x14ac:dyDescent="0.3">
      <c r="A229" s="12" t="s">
        <v>713</v>
      </c>
      <c r="B229" s="24">
        <v>0</v>
      </c>
    </row>
    <row r="230" spans="1:32" x14ac:dyDescent="0.3">
      <c r="A230" s="12" t="s">
        <v>38</v>
      </c>
      <c r="B230" s="24">
        <v>594</v>
      </c>
    </row>
    <row r="231" spans="1:32" x14ac:dyDescent="0.3">
      <c r="A231" s="9" t="s">
        <v>39</v>
      </c>
      <c r="B231" s="24">
        <v>210</v>
      </c>
    </row>
    <row r="234" spans="1:32" x14ac:dyDescent="0.3">
      <c r="A234" t="s">
        <v>1062</v>
      </c>
      <c r="B234" s="2" t="s">
        <v>6</v>
      </c>
      <c r="D234" t="s">
        <v>1063</v>
      </c>
      <c r="E234" s="2" t="s">
        <v>6</v>
      </c>
      <c r="G234" t="s">
        <v>1064</v>
      </c>
      <c r="H234" s="2" t="s">
        <v>6</v>
      </c>
      <c r="J234" t="s">
        <v>1065</v>
      </c>
      <c r="K234" s="2" t="s">
        <v>6</v>
      </c>
      <c r="M234" t="s">
        <v>1066</v>
      </c>
      <c r="N234" s="2" t="s">
        <v>6</v>
      </c>
      <c r="P234" t="s">
        <v>1067</v>
      </c>
      <c r="Q234" s="2" t="s">
        <v>6</v>
      </c>
      <c r="S234" t="s">
        <v>1068</v>
      </c>
      <c r="T234" s="2" t="s">
        <v>6</v>
      </c>
      <c r="V234" t="s">
        <v>1069</v>
      </c>
      <c r="W234" s="2" t="s">
        <v>6</v>
      </c>
      <c r="Y234" t="s">
        <v>1070</v>
      </c>
      <c r="Z234" s="2" t="s">
        <v>6</v>
      </c>
      <c r="AB234" t="s">
        <v>865</v>
      </c>
      <c r="AC234" s="2" t="s">
        <v>6</v>
      </c>
      <c r="AE234" t="s">
        <v>870</v>
      </c>
      <c r="AF234" s="2" t="s">
        <v>6</v>
      </c>
    </row>
    <row r="235" spans="1:32" x14ac:dyDescent="0.3">
      <c r="A235" s="35" t="s">
        <v>296</v>
      </c>
      <c r="B235" s="2">
        <v>3140</v>
      </c>
      <c r="D235" s="35" t="s">
        <v>296</v>
      </c>
      <c r="E235" s="2">
        <v>3140</v>
      </c>
      <c r="G235" s="35" t="s">
        <v>296</v>
      </c>
      <c r="H235" s="2">
        <v>3140</v>
      </c>
      <c r="J235" s="35" t="s">
        <v>296</v>
      </c>
      <c r="K235" s="2">
        <v>3140</v>
      </c>
      <c r="M235" s="35" t="s">
        <v>296</v>
      </c>
      <c r="N235" s="24">
        <v>3140</v>
      </c>
      <c r="P235" s="35" t="s">
        <v>296</v>
      </c>
      <c r="Q235" s="24">
        <v>3140</v>
      </c>
      <c r="S235" s="35" t="s">
        <v>296</v>
      </c>
      <c r="T235" s="24">
        <v>3140</v>
      </c>
      <c r="V235" s="35" t="s">
        <v>296</v>
      </c>
      <c r="W235" s="24">
        <v>3140</v>
      </c>
      <c r="Y235" s="35" t="s">
        <v>296</v>
      </c>
      <c r="Z235" s="24">
        <v>3140</v>
      </c>
      <c r="AB235" t="s">
        <v>880</v>
      </c>
      <c r="AC235" s="2">
        <v>5524</v>
      </c>
      <c r="AE235" t="s">
        <v>880</v>
      </c>
      <c r="AF235" s="2">
        <v>5524</v>
      </c>
    </row>
    <row r="236" spans="1:32" x14ac:dyDescent="0.3">
      <c r="A236" s="35" t="s">
        <v>875</v>
      </c>
      <c r="B236" s="2">
        <v>3140</v>
      </c>
      <c r="D236" s="35" t="s">
        <v>875</v>
      </c>
      <c r="E236" s="2">
        <v>3140</v>
      </c>
      <c r="G236" s="35" t="s">
        <v>875</v>
      </c>
      <c r="H236" s="2">
        <v>3140</v>
      </c>
      <c r="J236" s="35" t="s">
        <v>875</v>
      </c>
      <c r="K236" s="2">
        <v>3140</v>
      </c>
      <c r="M236" s="35" t="s">
        <v>875</v>
      </c>
      <c r="N236" s="24">
        <v>2441</v>
      </c>
      <c r="P236" s="35" t="s">
        <v>875</v>
      </c>
      <c r="Q236" s="24">
        <v>2441</v>
      </c>
      <c r="S236" s="35" t="s">
        <v>875</v>
      </c>
      <c r="T236" s="24">
        <v>2441</v>
      </c>
      <c r="V236" s="35" t="s">
        <v>875</v>
      </c>
      <c r="W236" s="24">
        <v>2441</v>
      </c>
      <c r="Y236" s="35" t="s">
        <v>875</v>
      </c>
      <c r="Z236" s="24">
        <v>2441</v>
      </c>
      <c r="AB236" t="s">
        <v>881</v>
      </c>
      <c r="AC236" s="2">
        <v>6923</v>
      </c>
      <c r="AE236" t="s">
        <v>881</v>
      </c>
      <c r="AF236" s="2">
        <v>6923</v>
      </c>
    </row>
    <row r="237" spans="1:32" x14ac:dyDescent="0.3">
      <c r="A237" t="s">
        <v>876</v>
      </c>
      <c r="B237" s="2">
        <v>2091</v>
      </c>
      <c r="D237" t="s">
        <v>876</v>
      </c>
      <c r="E237" s="2">
        <v>2091</v>
      </c>
      <c r="G237" t="s">
        <v>876</v>
      </c>
      <c r="H237" s="2">
        <v>2091</v>
      </c>
      <c r="J237" t="s">
        <v>876</v>
      </c>
      <c r="K237" s="2">
        <v>2091</v>
      </c>
      <c r="M237" s="5" t="s">
        <v>876</v>
      </c>
      <c r="N237" s="24">
        <v>2091</v>
      </c>
      <c r="P237" s="5" t="s">
        <v>876</v>
      </c>
      <c r="Q237" s="24">
        <v>2091</v>
      </c>
      <c r="S237" s="5" t="s">
        <v>876</v>
      </c>
      <c r="T237" s="24">
        <v>2091</v>
      </c>
      <c r="V237" s="5" t="s">
        <v>876</v>
      </c>
      <c r="W237" s="24">
        <v>2091</v>
      </c>
      <c r="Y237" s="5" t="s">
        <v>876</v>
      </c>
      <c r="Z237" s="24">
        <v>2091</v>
      </c>
      <c r="AE237" s="2"/>
    </row>
    <row r="238" spans="1:32" x14ac:dyDescent="0.3">
      <c r="A238" t="s">
        <v>877</v>
      </c>
      <c r="B238" s="2">
        <v>902</v>
      </c>
      <c r="D238" t="s">
        <v>877</v>
      </c>
      <c r="E238" s="2">
        <v>902</v>
      </c>
      <c r="G238" t="s">
        <v>877</v>
      </c>
      <c r="H238" s="2">
        <v>902</v>
      </c>
      <c r="J238" t="s">
        <v>877</v>
      </c>
      <c r="K238" s="2">
        <v>902</v>
      </c>
      <c r="M238" s="5" t="s">
        <v>877</v>
      </c>
      <c r="N238" s="24">
        <v>902</v>
      </c>
      <c r="P238" s="5" t="s">
        <v>877</v>
      </c>
      <c r="Q238" s="24">
        <v>902</v>
      </c>
      <c r="S238" s="5" t="s">
        <v>877</v>
      </c>
      <c r="T238" s="24">
        <v>902</v>
      </c>
      <c r="V238" s="5" t="s">
        <v>877</v>
      </c>
      <c r="W238" s="24">
        <v>902</v>
      </c>
      <c r="Y238" s="5" t="s">
        <v>877</v>
      </c>
      <c r="Z238" s="24">
        <v>902</v>
      </c>
      <c r="AE238" s="2"/>
    </row>
    <row r="239" spans="1:32" x14ac:dyDescent="0.3">
      <c r="A239" s="35" t="s">
        <v>715</v>
      </c>
      <c r="B239" s="2">
        <v>1392</v>
      </c>
      <c r="D239" s="35" t="s">
        <v>715</v>
      </c>
      <c r="E239" s="2">
        <v>1392</v>
      </c>
      <c r="G239" s="35" t="s">
        <v>715</v>
      </c>
      <c r="H239" s="2">
        <v>1392</v>
      </c>
      <c r="J239" s="35" t="s">
        <v>715</v>
      </c>
      <c r="K239" s="2">
        <v>1392</v>
      </c>
      <c r="M239" s="5" t="s">
        <v>879</v>
      </c>
      <c r="N239" s="24">
        <v>1392</v>
      </c>
      <c r="P239" s="5" t="s">
        <v>879</v>
      </c>
      <c r="Q239" s="24">
        <v>1392</v>
      </c>
      <c r="S239" s="5" t="s">
        <v>879</v>
      </c>
      <c r="T239" s="24">
        <v>1392</v>
      </c>
      <c r="V239" s="5" t="s">
        <v>879</v>
      </c>
      <c r="W239" s="24">
        <v>1392</v>
      </c>
      <c r="Y239" s="5" t="s">
        <v>879</v>
      </c>
      <c r="Z239" s="24">
        <v>1392</v>
      </c>
      <c r="AE239" s="2"/>
    </row>
    <row r="240" spans="1:32" x14ac:dyDescent="0.3">
      <c r="A240" s="28" t="s">
        <v>878</v>
      </c>
      <c r="B240" s="2">
        <v>1741</v>
      </c>
      <c r="D240" s="28" t="s">
        <v>878</v>
      </c>
      <c r="E240" s="2">
        <v>1741</v>
      </c>
      <c r="G240" s="28" t="s">
        <v>878</v>
      </c>
      <c r="H240" s="2">
        <v>1741</v>
      </c>
      <c r="J240" s="28" t="s">
        <v>878</v>
      </c>
      <c r="K240" s="2">
        <v>1741</v>
      </c>
      <c r="M240" s="35" t="s">
        <v>715</v>
      </c>
      <c r="N240" s="24">
        <v>1392</v>
      </c>
      <c r="P240" s="35" t="s">
        <v>715</v>
      </c>
      <c r="Q240" s="24">
        <v>1392</v>
      </c>
      <c r="S240" s="35" t="s">
        <v>715</v>
      </c>
      <c r="T240" s="24">
        <v>1392</v>
      </c>
      <c r="V240" s="35" t="s">
        <v>715</v>
      </c>
      <c r="W240" s="24">
        <v>1392</v>
      </c>
      <c r="Y240" s="35" t="s">
        <v>715</v>
      </c>
      <c r="Z240" s="24">
        <v>1392</v>
      </c>
      <c r="AE240" s="2"/>
    </row>
    <row r="241" spans="1:31" x14ac:dyDescent="0.3">
      <c r="A241" s="35" t="s">
        <v>711</v>
      </c>
      <c r="B241" s="2">
        <v>692</v>
      </c>
      <c r="D241" s="35" t="s">
        <v>711</v>
      </c>
      <c r="E241" s="2">
        <v>692</v>
      </c>
      <c r="G241" s="35" t="s">
        <v>711</v>
      </c>
      <c r="H241" s="2">
        <v>692</v>
      </c>
      <c r="J241" s="35" t="s">
        <v>711</v>
      </c>
      <c r="K241" s="2">
        <v>692</v>
      </c>
      <c r="M241" s="35" t="s">
        <v>878</v>
      </c>
      <c r="N241" s="24">
        <v>1741</v>
      </c>
      <c r="P241" s="35" t="s">
        <v>878</v>
      </c>
      <c r="Q241" s="24">
        <v>1741</v>
      </c>
      <c r="S241" s="35" t="s">
        <v>878</v>
      </c>
      <c r="T241" s="24">
        <v>1741</v>
      </c>
      <c r="V241" s="35" t="s">
        <v>878</v>
      </c>
      <c r="W241" s="24">
        <v>1741</v>
      </c>
      <c r="Y241" s="35" t="s">
        <v>878</v>
      </c>
      <c r="Z241" s="24">
        <v>1741</v>
      </c>
      <c r="AE241" s="2"/>
    </row>
    <row r="242" spans="1:31" x14ac:dyDescent="0.3">
      <c r="A242" s="5" t="s">
        <v>479</v>
      </c>
      <c r="B242" s="2">
        <v>343</v>
      </c>
      <c r="D242" s="5" t="s">
        <v>479</v>
      </c>
      <c r="E242" s="2">
        <v>343</v>
      </c>
      <c r="G242" s="5" t="s">
        <v>479</v>
      </c>
      <c r="H242" s="2">
        <v>343</v>
      </c>
      <c r="J242" s="5" t="s">
        <v>479</v>
      </c>
      <c r="K242" s="2">
        <v>343</v>
      </c>
      <c r="M242" s="35" t="s">
        <v>711</v>
      </c>
      <c r="N242" s="24">
        <v>692</v>
      </c>
      <c r="P242" s="35" t="s">
        <v>711</v>
      </c>
      <c r="Q242" s="24">
        <v>692</v>
      </c>
      <c r="S242" s="35" t="s">
        <v>711</v>
      </c>
      <c r="T242" s="24">
        <v>692</v>
      </c>
      <c r="V242" s="35" t="s">
        <v>711</v>
      </c>
      <c r="W242" s="24">
        <v>692</v>
      </c>
      <c r="Y242" s="35" t="s">
        <v>711</v>
      </c>
      <c r="Z242" s="24">
        <v>692</v>
      </c>
      <c r="AE242" s="2"/>
    </row>
    <row r="243" spans="1:31" x14ac:dyDescent="0.3">
      <c r="A243" s="35" t="s">
        <v>483</v>
      </c>
      <c r="B243" s="2">
        <v>692</v>
      </c>
      <c r="D243" s="35" t="s">
        <v>483</v>
      </c>
      <c r="E243" s="2">
        <v>692</v>
      </c>
      <c r="G243" s="35" t="s">
        <v>483</v>
      </c>
      <c r="H243" s="2">
        <v>692</v>
      </c>
      <c r="J243" s="35" t="s">
        <v>483</v>
      </c>
      <c r="K243" s="2">
        <v>692</v>
      </c>
      <c r="M243" s="5" t="s">
        <v>479</v>
      </c>
      <c r="N243" s="24">
        <v>343</v>
      </c>
      <c r="P243" s="5" t="s">
        <v>479</v>
      </c>
      <c r="Q243" s="24">
        <v>343</v>
      </c>
      <c r="S243" s="5" t="s">
        <v>479</v>
      </c>
      <c r="T243" s="24">
        <v>343</v>
      </c>
      <c r="V243" s="5" t="s">
        <v>479</v>
      </c>
      <c r="W243" s="24">
        <v>343</v>
      </c>
      <c r="Y243" s="5" t="s">
        <v>479</v>
      </c>
      <c r="Z243" s="24">
        <v>343</v>
      </c>
      <c r="AE243" s="2"/>
    </row>
    <row r="244" spans="1:31" x14ac:dyDescent="0.3">
      <c r="M244" s="35" t="s">
        <v>483</v>
      </c>
      <c r="N244" s="24">
        <v>692</v>
      </c>
      <c r="P244" s="35" t="s">
        <v>483</v>
      </c>
      <c r="Q244" s="24">
        <v>692</v>
      </c>
      <c r="S244" s="35" t="s">
        <v>483</v>
      </c>
      <c r="T244" s="24">
        <v>692</v>
      </c>
      <c r="V244" s="35" t="s">
        <v>483</v>
      </c>
      <c r="W244" s="24">
        <v>692</v>
      </c>
      <c r="Y244" s="35" t="s">
        <v>483</v>
      </c>
      <c r="Z244" s="24">
        <v>692</v>
      </c>
      <c r="AE244" s="2"/>
    </row>
    <row r="246" spans="1:31" x14ac:dyDescent="0.3">
      <c r="A246" t="s">
        <v>932</v>
      </c>
      <c r="B246" s="2" t="s">
        <v>6</v>
      </c>
      <c r="D246" t="s">
        <v>936</v>
      </c>
      <c r="E246" s="2" t="s">
        <v>6</v>
      </c>
      <c r="G246" t="s">
        <v>937</v>
      </c>
      <c r="H246" s="2" t="s">
        <v>6</v>
      </c>
    </row>
    <row r="247" spans="1:31" x14ac:dyDescent="0.3">
      <c r="A247" t="s">
        <v>933</v>
      </c>
      <c r="B247" s="2">
        <v>2264</v>
      </c>
      <c r="D247" s="5" t="s">
        <v>933</v>
      </c>
      <c r="E247" s="6">
        <v>2264</v>
      </c>
      <c r="G247" s="5" t="s">
        <v>933</v>
      </c>
      <c r="H247" s="6">
        <v>2264</v>
      </c>
    </row>
    <row r="248" spans="1:31" x14ac:dyDescent="0.3">
      <c r="A248" t="s">
        <v>238</v>
      </c>
      <c r="B248" s="2">
        <v>900</v>
      </c>
      <c r="D248" s="5" t="s">
        <v>238</v>
      </c>
      <c r="E248" s="6">
        <v>900</v>
      </c>
      <c r="G248" s="5" t="s">
        <v>238</v>
      </c>
      <c r="H248" s="6">
        <v>900</v>
      </c>
    </row>
    <row r="249" spans="1:31" x14ac:dyDescent="0.3">
      <c r="A249" t="s">
        <v>934</v>
      </c>
      <c r="B249" s="2">
        <v>1809</v>
      </c>
      <c r="D249" s="5" t="s">
        <v>934</v>
      </c>
      <c r="E249" s="2">
        <v>1355</v>
      </c>
      <c r="G249" s="5" t="s">
        <v>117</v>
      </c>
      <c r="H249" s="6">
        <v>2264</v>
      </c>
    </row>
    <row r="250" spans="1:31" x14ac:dyDescent="0.3">
      <c r="A250" t="s">
        <v>239</v>
      </c>
      <c r="B250" s="2">
        <v>900</v>
      </c>
      <c r="D250" s="5" t="s">
        <v>239</v>
      </c>
      <c r="E250" s="2">
        <v>445</v>
      </c>
      <c r="G250" s="5" t="s">
        <v>241</v>
      </c>
      <c r="H250" s="2">
        <v>900</v>
      </c>
    </row>
    <row r="251" spans="1:31" x14ac:dyDescent="0.3">
      <c r="A251" t="s">
        <v>117</v>
      </c>
      <c r="B251" s="2">
        <v>2264</v>
      </c>
      <c r="D251" s="21" t="s">
        <v>879</v>
      </c>
      <c r="E251" s="2">
        <v>1355</v>
      </c>
      <c r="G251" s="5" t="s">
        <v>242</v>
      </c>
      <c r="H251" s="2">
        <v>1355</v>
      </c>
    </row>
    <row r="252" spans="1:31" x14ac:dyDescent="0.3">
      <c r="A252" t="s">
        <v>242</v>
      </c>
      <c r="B252" s="2">
        <v>1355</v>
      </c>
      <c r="D252" s="5" t="s">
        <v>117</v>
      </c>
      <c r="E252" s="2">
        <v>2264</v>
      </c>
    </row>
    <row r="253" spans="1:31" x14ac:dyDescent="0.3">
      <c r="A253" t="s">
        <v>935</v>
      </c>
      <c r="B253" s="2">
        <v>900</v>
      </c>
      <c r="D253" s="21" t="s">
        <v>241</v>
      </c>
      <c r="E253" s="2">
        <v>1355</v>
      </c>
    </row>
    <row r="254" spans="1:31" x14ac:dyDescent="0.3">
      <c r="A254" t="s">
        <v>35</v>
      </c>
      <c r="B254" s="2">
        <v>900</v>
      </c>
      <c r="D254" s="5" t="s">
        <v>242</v>
      </c>
      <c r="E254" s="6">
        <v>1355</v>
      </c>
    </row>
    <row r="255" spans="1:31" x14ac:dyDescent="0.3">
      <c r="D255" s="5" t="s">
        <v>35</v>
      </c>
      <c r="E255" s="6">
        <v>900</v>
      </c>
    </row>
  </sheetData>
  <pageMargins left="0.7" right="0.7" top="0.75" bottom="0.75" header="0.3" footer="0.3"/>
  <pageSetup paperSize="9" orientation="portrait" r:id="rId1"/>
  <tableParts count="69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  <tablePart r:id="rId43"/>
    <tablePart r:id="rId44"/>
    <tablePart r:id="rId45"/>
    <tablePart r:id="rId46"/>
    <tablePart r:id="rId47"/>
    <tablePart r:id="rId48"/>
    <tablePart r:id="rId49"/>
    <tablePart r:id="rId50"/>
    <tablePart r:id="rId51"/>
    <tablePart r:id="rId52"/>
    <tablePart r:id="rId53"/>
    <tablePart r:id="rId54"/>
    <tablePart r:id="rId55"/>
    <tablePart r:id="rId56"/>
    <tablePart r:id="rId57"/>
    <tablePart r:id="rId58"/>
    <tablePart r:id="rId59"/>
    <tablePart r:id="rId60"/>
    <tablePart r:id="rId61"/>
    <tablePart r:id="rId62"/>
    <tablePart r:id="rId63"/>
    <tablePart r:id="rId64"/>
    <tablePart r:id="rId65"/>
    <tablePart r:id="rId66"/>
    <tablePart r:id="rId67"/>
    <tablePart r:id="rId68"/>
    <tablePart r:id="rId69"/>
    <tablePart r:id="rId7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199"/>
  <sheetViews>
    <sheetView topLeftCell="A52" workbookViewId="0">
      <selection activeCell="A190" sqref="A190:B199"/>
    </sheetView>
  </sheetViews>
  <sheetFormatPr defaultRowHeight="14.4" x14ac:dyDescent="0.3"/>
  <cols>
    <col min="1" max="1" width="37.88671875" bestFit="1" customWidth="1"/>
    <col min="2" max="2" width="10.44140625" style="2" customWidth="1"/>
    <col min="4" max="4" width="31.5546875" customWidth="1"/>
    <col min="5" max="5" width="11.44140625" style="2" customWidth="1"/>
    <col min="7" max="7" width="32" bestFit="1" customWidth="1"/>
    <col min="8" max="8" width="10.44140625" bestFit="1" customWidth="1"/>
    <col min="10" max="10" width="32" bestFit="1" customWidth="1"/>
    <col min="11" max="11" width="10.44140625" bestFit="1" customWidth="1"/>
    <col min="13" max="13" width="30.88671875" bestFit="1" customWidth="1"/>
    <col min="14" max="14" width="10.44140625" bestFit="1" customWidth="1"/>
  </cols>
  <sheetData>
    <row r="1" spans="1:11" x14ac:dyDescent="0.3">
      <c r="A1" t="s">
        <v>47</v>
      </c>
      <c r="B1" s="2" t="s">
        <v>6</v>
      </c>
      <c r="D1" t="s">
        <v>84</v>
      </c>
      <c r="E1" s="2" t="s">
        <v>6</v>
      </c>
      <c r="G1" t="s">
        <v>91</v>
      </c>
      <c r="H1" t="s">
        <v>6</v>
      </c>
      <c r="J1" s="11" t="s">
        <v>101</v>
      </c>
      <c r="K1" t="s">
        <v>6</v>
      </c>
    </row>
    <row r="2" spans="1:11" x14ac:dyDescent="0.3">
      <c r="A2" t="s">
        <v>48</v>
      </c>
      <c r="B2" s="2">
        <v>0</v>
      </c>
      <c r="D2" s="5" t="s">
        <v>48</v>
      </c>
      <c r="E2" s="24">
        <v>0</v>
      </c>
      <c r="G2" s="5" t="s">
        <v>48</v>
      </c>
      <c r="H2" s="6">
        <v>0</v>
      </c>
      <c r="J2" s="15" t="s">
        <v>48</v>
      </c>
      <c r="K2" s="6">
        <v>0</v>
      </c>
    </row>
    <row r="3" spans="1:11" x14ac:dyDescent="0.3">
      <c r="A3" t="s">
        <v>49</v>
      </c>
      <c r="B3" s="2">
        <v>0</v>
      </c>
      <c r="D3" s="5" t="s">
        <v>49</v>
      </c>
      <c r="E3" s="24">
        <v>0</v>
      </c>
      <c r="G3" s="5" t="s">
        <v>49</v>
      </c>
      <c r="H3" s="6">
        <v>0</v>
      </c>
      <c r="J3" s="15" t="s">
        <v>49</v>
      </c>
      <c r="K3" s="6">
        <v>0</v>
      </c>
    </row>
    <row r="4" spans="1:11" x14ac:dyDescent="0.3">
      <c r="A4" t="s">
        <v>50</v>
      </c>
      <c r="B4" s="2">
        <v>0</v>
      </c>
      <c r="D4" s="5" t="s">
        <v>50</v>
      </c>
      <c r="E4" s="24">
        <v>0</v>
      </c>
      <c r="G4" s="5" t="s">
        <v>50</v>
      </c>
      <c r="H4" s="6">
        <v>0</v>
      </c>
      <c r="J4" s="15" t="s">
        <v>50</v>
      </c>
      <c r="K4" s="6">
        <v>0</v>
      </c>
    </row>
    <row r="5" spans="1:11" x14ac:dyDescent="0.3">
      <c r="A5" t="s">
        <v>51</v>
      </c>
      <c r="B5" s="2">
        <v>1455</v>
      </c>
      <c r="D5" s="5" t="s">
        <v>51</v>
      </c>
      <c r="E5" s="24">
        <v>1455</v>
      </c>
      <c r="G5" s="5" t="s">
        <v>51</v>
      </c>
      <c r="H5" s="6">
        <v>0</v>
      </c>
      <c r="J5" s="15" t="s">
        <v>51</v>
      </c>
      <c r="K5" s="6">
        <v>0</v>
      </c>
    </row>
    <row r="6" spans="1:11" x14ac:dyDescent="0.3">
      <c r="A6" t="s">
        <v>52</v>
      </c>
      <c r="B6" s="2">
        <v>1455</v>
      </c>
      <c r="D6" s="5" t="s">
        <v>52</v>
      </c>
      <c r="E6" s="24">
        <v>1455</v>
      </c>
      <c r="G6" s="5" t="s">
        <v>52</v>
      </c>
      <c r="H6" s="6">
        <v>0</v>
      </c>
      <c r="J6" s="15" t="s">
        <v>52</v>
      </c>
      <c r="K6" s="6">
        <v>0</v>
      </c>
    </row>
    <row r="7" spans="1:11" x14ac:dyDescent="0.3">
      <c r="A7" t="s">
        <v>53</v>
      </c>
      <c r="B7" s="2">
        <v>1455</v>
      </c>
      <c r="D7" s="5" t="s">
        <v>53</v>
      </c>
      <c r="E7" s="24">
        <v>1455</v>
      </c>
      <c r="G7" s="5" t="s">
        <v>53</v>
      </c>
      <c r="H7" s="6">
        <v>0</v>
      </c>
      <c r="J7" s="15" t="s">
        <v>53</v>
      </c>
      <c r="K7" s="6">
        <v>0</v>
      </c>
    </row>
    <row r="8" spans="1:11" x14ac:dyDescent="0.3">
      <c r="A8" t="s">
        <v>54</v>
      </c>
      <c r="B8" s="2">
        <v>1455</v>
      </c>
      <c r="D8" s="5" t="s">
        <v>54</v>
      </c>
      <c r="E8" s="24">
        <v>1455</v>
      </c>
      <c r="G8" s="5" t="s">
        <v>54</v>
      </c>
      <c r="H8" s="6">
        <v>0</v>
      </c>
      <c r="J8" s="15" t="s">
        <v>54</v>
      </c>
      <c r="K8" s="6">
        <v>0</v>
      </c>
    </row>
    <row r="9" spans="1:11" x14ac:dyDescent="0.3">
      <c r="A9" t="s">
        <v>55</v>
      </c>
      <c r="B9" s="2">
        <v>1455</v>
      </c>
      <c r="D9" s="5" t="s">
        <v>55</v>
      </c>
      <c r="E9" s="24">
        <v>1455</v>
      </c>
      <c r="G9" s="5" t="s">
        <v>55</v>
      </c>
      <c r="H9" s="6">
        <v>0</v>
      </c>
      <c r="J9" s="15" t="s">
        <v>55</v>
      </c>
      <c r="K9" s="6">
        <v>0</v>
      </c>
    </row>
    <row r="10" spans="1:11" x14ac:dyDescent="0.3">
      <c r="A10" t="s">
        <v>56</v>
      </c>
      <c r="B10" s="2">
        <v>1455</v>
      </c>
      <c r="D10" s="5" t="s">
        <v>56</v>
      </c>
      <c r="E10" s="24">
        <v>1455</v>
      </c>
      <c r="G10" s="5" t="s">
        <v>56</v>
      </c>
      <c r="H10" s="6">
        <v>0</v>
      </c>
      <c r="J10" s="15" t="s">
        <v>56</v>
      </c>
      <c r="K10" s="6">
        <v>0</v>
      </c>
    </row>
    <row r="11" spans="1:11" x14ac:dyDescent="0.3">
      <c r="A11" t="s">
        <v>57</v>
      </c>
      <c r="B11" s="2">
        <v>1455</v>
      </c>
      <c r="D11" s="5" t="s">
        <v>57</v>
      </c>
      <c r="E11" s="24">
        <v>1455</v>
      </c>
      <c r="G11" s="5" t="s">
        <v>57</v>
      </c>
      <c r="H11" s="6">
        <v>0</v>
      </c>
      <c r="J11" s="15" t="s">
        <v>57</v>
      </c>
      <c r="K11" s="6">
        <v>0</v>
      </c>
    </row>
    <row r="12" spans="1:11" x14ac:dyDescent="0.3">
      <c r="A12" t="s">
        <v>58</v>
      </c>
      <c r="B12" s="2">
        <v>2084</v>
      </c>
      <c r="D12" s="5" t="s">
        <v>58</v>
      </c>
      <c r="E12" s="24">
        <v>2084</v>
      </c>
      <c r="G12" s="5" t="s">
        <v>58</v>
      </c>
      <c r="H12" s="6">
        <v>1259</v>
      </c>
      <c r="J12" s="15" t="s">
        <v>58</v>
      </c>
      <c r="K12" s="6">
        <v>1259</v>
      </c>
    </row>
    <row r="13" spans="1:11" x14ac:dyDescent="0.3">
      <c r="A13" t="s">
        <v>59</v>
      </c>
      <c r="B13" s="2">
        <v>2084</v>
      </c>
      <c r="D13" s="5" t="s">
        <v>59</v>
      </c>
      <c r="E13" s="24">
        <v>2084</v>
      </c>
      <c r="G13" s="5" t="s">
        <v>59</v>
      </c>
      <c r="H13" s="6">
        <v>1259</v>
      </c>
      <c r="J13" s="15" t="s">
        <v>59</v>
      </c>
      <c r="K13" s="6">
        <v>1259</v>
      </c>
    </row>
    <row r="14" spans="1:11" x14ac:dyDescent="0.3">
      <c r="A14" t="s">
        <v>77</v>
      </c>
      <c r="B14" s="2">
        <v>3406</v>
      </c>
      <c r="D14" s="5" t="s">
        <v>77</v>
      </c>
      <c r="E14" s="24">
        <v>3406</v>
      </c>
      <c r="G14" s="5" t="s">
        <v>77</v>
      </c>
      <c r="H14" s="6">
        <v>2727</v>
      </c>
      <c r="J14" s="15" t="s">
        <v>77</v>
      </c>
      <c r="K14" s="6">
        <v>2727</v>
      </c>
    </row>
    <row r="15" spans="1:11" x14ac:dyDescent="0.3">
      <c r="A15" t="s">
        <v>78</v>
      </c>
      <c r="B15" s="2">
        <v>2902</v>
      </c>
      <c r="D15" s="5" t="s">
        <v>78</v>
      </c>
      <c r="E15" s="24">
        <v>2902</v>
      </c>
      <c r="G15" s="5" t="s">
        <v>78</v>
      </c>
      <c r="H15" s="6">
        <v>2587</v>
      </c>
      <c r="J15" s="15" t="s">
        <v>78</v>
      </c>
      <c r="K15" s="6">
        <v>2587</v>
      </c>
    </row>
    <row r="16" spans="1:11" x14ac:dyDescent="0.3">
      <c r="A16" t="s">
        <v>79</v>
      </c>
      <c r="B16" s="2">
        <v>2902</v>
      </c>
      <c r="D16" s="5" t="s">
        <v>79</v>
      </c>
      <c r="E16" s="24">
        <v>2902</v>
      </c>
      <c r="G16" s="5" t="s">
        <v>79</v>
      </c>
      <c r="H16" s="6">
        <v>2587</v>
      </c>
      <c r="J16" s="15" t="s">
        <v>79</v>
      </c>
      <c r="K16" s="6">
        <v>2587</v>
      </c>
    </row>
    <row r="17" spans="1:11" x14ac:dyDescent="0.3">
      <c r="A17" t="s">
        <v>80</v>
      </c>
      <c r="B17" s="2">
        <v>5874</v>
      </c>
      <c r="D17" s="5" t="s">
        <v>80</v>
      </c>
      <c r="E17" s="24">
        <v>5874</v>
      </c>
      <c r="G17" s="5" t="s">
        <v>80</v>
      </c>
      <c r="H17" s="6">
        <v>4773</v>
      </c>
      <c r="J17" s="15" t="s">
        <v>80</v>
      </c>
      <c r="K17" s="6">
        <v>4773</v>
      </c>
    </row>
    <row r="18" spans="1:11" x14ac:dyDescent="0.3">
      <c r="A18" t="s">
        <v>81</v>
      </c>
      <c r="B18" s="2">
        <v>5874</v>
      </c>
      <c r="D18" s="5" t="s">
        <v>81</v>
      </c>
      <c r="E18" s="24">
        <v>5874</v>
      </c>
      <c r="G18" s="5" t="s">
        <v>81</v>
      </c>
      <c r="H18" s="6">
        <v>4773</v>
      </c>
      <c r="J18" s="15" t="s">
        <v>81</v>
      </c>
      <c r="K18" s="6">
        <v>4773</v>
      </c>
    </row>
    <row r="21" spans="1:11" x14ac:dyDescent="0.3">
      <c r="A21" t="s">
        <v>118</v>
      </c>
      <c r="B21" s="2" t="s">
        <v>6</v>
      </c>
      <c r="D21" t="s">
        <v>148</v>
      </c>
      <c r="E21" s="2" t="s">
        <v>6</v>
      </c>
      <c r="G21" t="s">
        <v>156</v>
      </c>
      <c r="H21" t="s">
        <v>6</v>
      </c>
    </row>
    <row r="22" spans="1:11" x14ac:dyDescent="0.3">
      <c r="A22" t="s">
        <v>119</v>
      </c>
      <c r="B22" s="2">
        <v>0</v>
      </c>
      <c r="D22" s="5" t="s">
        <v>119</v>
      </c>
      <c r="E22" s="24">
        <v>0</v>
      </c>
      <c r="G22" s="5" t="s">
        <v>119</v>
      </c>
      <c r="H22" s="6">
        <v>0</v>
      </c>
    </row>
    <row r="23" spans="1:11" x14ac:dyDescent="0.3">
      <c r="A23" t="s">
        <v>120</v>
      </c>
      <c r="B23" s="2">
        <v>0</v>
      </c>
      <c r="D23" s="5" t="s">
        <v>120</v>
      </c>
      <c r="E23" s="24">
        <v>0</v>
      </c>
      <c r="G23" s="5" t="s">
        <v>120</v>
      </c>
      <c r="H23" s="6">
        <v>0</v>
      </c>
    </row>
    <row r="24" spans="1:11" x14ac:dyDescent="0.3">
      <c r="A24" t="s">
        <v>121</v>
      </c>
      <c r="B24" s="2">
        <v>0</v>
      </c>
      <c r="D24" s="5" t="s">
        <v>121</v>
      </c>
      <c r="E24" s="24">
        <v>0</v>
      </c>
      <c r="G24" s="5" t="s">
        <v>121</v>
      </c>
      <c r="H24" s="6">
        <v>0</v>
      </c>
    </row>
    <row r="25" spans="1:11" x14ac:dyDescent="0.3">
      <c r="A25" t="s">
        <v>122</v>
      </c>
      <c r="B25" s="2">
        <v>1082</v>
      </c>
      <c r="D25" s="5" t="s">
        <v>122</v>
      </c>
      <c r="E25" s="24">
        <v>1082</v>
      </c>
      <c r="G25" s="5" t="s">
        <v>122</v>
      </c>
      <c r="H25" s="6">
        <v>0</v>
      </c>
    </row>
    <row r="26" spans="1:11" x14ac:dyDescent="0.3">
      <c r="A26" t="s">
        <v>123</v>
      </c>
      <c r="B26" s="2">
        <v>1082</v>
      </c>
      <c r="D26" s="5" t="s">
        <v>123</v>
      </c>
      <c r="E26" s="24">
        <v>1082</v>
      </c>
      <c r="G26" s="5" t="s">
        <v>123</v>
      </c>
      <c r="H26" s="6">
        <v>0</v>
      </c>
    </row>
    <row r="27" spans="1:11" x14ac:dyDescent="0.3">
      <c r="A27" t="s">
        <v>124</v>
      </c>
      <c r="B27" s="2">
        <v>1082</v>
      </c>
      <c r="D27" s="5" t="s">
        <v>124</v>
      </c>
      <c r="E27" s="24">
        <v>1082</v>
      </c>
      <c r="G27" s="5" t="s">
        <v>124</v>
      </c>
      <c r="H27" s="6">
        <v>0</v>
      </c>
    </row>
    <row r="28" spans="1:11" x14ac:dyDescent="0.3">
      <c r="A28" t="s">
        <v>125</v>
      </c>
      <c r="B28" s="2">
        <v>1082</v>
      </c>
      <c r="D28" s="5" t="s">
        <v>125</v>
      </c>
      <c r="E28" s="24">
        <v>1082</v>
      </c>
      <c r="G28" s="5" t="s">
        <v>125</v>
      </c>
      <c r="H28" s="6">
        <v>0</v>
      </c>
    </row>
    <row r="29" spans="1:11" x14ac:dyDescent="0.3">
      <c r="A29" t="s">
        <v>126</v>
      </c>
      <c r="B29" s="2">
        <v>1082</v>
      </c>
      <c r="D29" s="5" t="s">
        <v>126</v>
      </c>
      <c r="E29" s="24">
        <v>1082</v>
      </c>
      <c r="G29" s="5" t="s">
        <v>126</v>
      </c>
      <c r="H29" s="6">
        <v>0</v>
      </c>
    </row>
    <row r="30" spans="1:11" x14ac:dyDescent="0.3">
      <c r="A30" t="s">
        <v>127</v>
      </c>
      <c r="B30" s="2">
        <v>1082</v>
      </c>
      <c r="D30" s="5" t="s">
        <v>127</v>
      </c>
      <c r="E30" s="24">
        <v>1082</v>
      </c>
      <c r="G30" s="5" t="s">
        <v>127</v>
      </c>
      <c r="H30" s="6">
        <v>0</v>
      </c>
    </row>
    <row r="31" spans="1:11" x14ac:dyDescent="0.3">
      <c r="A31" t="s">
        <v>128</v>
      </c>
      <c r="B31" s="2">
        <v>1082</v>
      </c>
      <c r="D31" s="5" t="s">
        <v>128</v>
      </c>
      <c r="E31" s="24">
        <v>1082</v>
      </c>
      <c r="G31" s="5" t="s">
        <v>128</v>
      </c>
      <c r="H31" s="6">
        <v>0</v>
      </c>
    </row>
    <row r="34" spans="1:11" x14ac:dyDescent="0.3">
      <c r="A34" t="s">
        <v>189</v>
      </c>
      <c r="B34" s="2" t="s">
        <v>6</v>
      </c>
      <c r="D34" t="s">
        <v>215</v>
      </c>
      <c r="E34" s="2" t="s">
        <v>6</v>
      </c>
      <c r="G34" t="s">
        <v>223</v>
      </c>
      <c r="H34" t="s">
        <v>6</v>
      </c>
    </row>
    <row r="35" spans="1:11" x14ac:dyDescent="0.3">
      <c r="A35" t="s">
        <v>190</v>
      </c>
      <c r="B35" s="2">
        <v>1469</v>
      </c>
      <c r="D35" t="s">
        <v>190</v>
      </c>
      <c r="E35" s="2">
        <v>0</v>
      </c>
      <c r="G35" t="s">
        <v>190</v>
      </c>
      <c r="H35" s="2">
        <v>0</v>
      </c>
    </row>
    <row r="36" spans="1:11" x14ac:dyDescent="0.3">
      <c r="A36" s="19" t="s">
        <v>195</v>
      </c>
      <c r="B36" s="2">
        <v>5525</v>
      </c>
      <c r="D36" s="19" t="s">
        <v>195</v>
      </c>
      <c r="E36" s="2">
        <v>5525</v>
      </c>
      <c r="G36" s="19" t="s">
        <v>195</v>
      </c>
      <c r="H36" s="2">
        <v>5525</v>
      </c>
    </row>
    <row r="37" spans="1:11" x14ac:dyDescent="0.3">
      <c r="A37" s="19" t="s">
        <v>196</v>
      </c>
      <c r="B37" s="2">
        <v>6923</v>
      </c>
      <c r="D37" s="19" t="s">
        <v>196</v>
      </c>
      <c r="E37" s="2">
        <v>6923</v>
      </c>
      <c r="G37" s="19" t="s">
        <v>196</v>
      </c>
      <c r="H37" s="2">
        <v>6923</v>
      </c>
    </row>
    <row r="38" spans="1:11" x14ac:dyDescent="0.3">
      <c r="A38" s="19" t="s">
        <v>197</v>
      </c>
      <c r="B38" s="2">
        <v>9021</v>
      </c>
      <c r="D38" s="19" t="s">
        <v>197</v>
      </c>
      <c r="E38" s="2">
        <v>9021</v>
      </c>
      <c r="G38" s="19" t="s">
        <v>197</v>
      </c>
      <c r="H38" s="2">
        <v>9021</v>
      </c>
    </row>
    <row r="41" spans="1:11" x14ac:dyDescent="0.3">
      <c r="A41" t="s">
        <v>244</v>
      </c>
      <c r="B41" s="2" t="s">
        <v>6</v>
      </c>
      <c r="D41" t="s">
        <v>265</v>
      </c>
      <c r="E41" s="2" t="s">
        <v>6</v>
      </c>
      <c r="G41" t="s">
        <v>270</v>
      </c>
      <c r="H41" t="s">
        <v>6</v>
      </c>
      <c r="J41" t="s">
        <v>277</v>
      </c>
      <c r="K41" t="s">
        <v>6</v>
      </c>
    </row>
    <row r="42" spans="1:11" x14ac:dyDescent="0.3">
      <c r="A42" s="5" t="s">
        <v>119</v>
      </c>
      <c r="B42" s="24">
        <v>0</v>
      </c>
      <c r="D42" s="5" t="s">
        <v>119</v>
      </c>
      <c r="E42" s="24">
        <v>0</v>
      </c>
      <c r="G42" s="5" t="s">
        <v>119</v>
      </c>
      <c r="H42" s="6">
        <v>0</v>
      </c>
      <c r="J42" s="5" t="s">
        <v>119</v>
      </c>
      <c r="K42" s="6">
        <v>0</v>
      </c>
    </row>
    <row r="43" spans="1:11" x14ac:dyDescent="0.3">
      <c r="A43" s="5" t="s">
        <v>120</v>
      </c>
      <c r="B43" s="24">
        <v>0</v>
      </c>
      <c r="D43" s="5" t="s">
        <v>120</v>
      </c>
      <c r="E43" s="24">
        <v>0</v>
      </c>
      <c r="G43" s="5" t="s">
        <v>120</v>
      </c>
      <c r="H43" s="6">
        <v>0</v>
      </c>
      <c r="J43" s="5" t="s">
        <v>120</v>
      </c>
      <c r="K43" s="6">
        <v>0</v>
      </c>
    </row>
    <row r="44" spans="1:11" x14ac:dyDescent="0.3">
      <c r="A44" s="5" t="s">
        <v>121</v>
      </c>
      <c r="B44" s="24">
        <v>0</v>
      </c>
      <c r="D44" s="5" t="s">
        <v>121</v>
      </c>
      <c r="E44" s="24">
        <v>0</v>
      </c>
      <c r="G44" s="5" t="s">
        <v>121</v>
      </c>
      <c r="H44" s="6">
        <v>0</v>
      </c>
      <c r="J44" s="5" t="s">
        <v>121</v>
      </c>
      <c r="K44" s="6">
        <v>0</v>
      </c>
    </row>
    <row r="45" spans="1:11" x14ac:dyDescent="0.3">
      <c r="A45" s="5" t="s">
        <v>123</v>
      </c>
      <c r="B45" s="24">
        <v>1173</v>
      </c>
      <c r="D45" s="5" t="s">
        <v>123</v>
      </c>
      <c r="E45" s="24">
        <v>1173</v>
      </c>
      <c r="G45" s="5" t="s">
        <v>123</v>
      </c>
      <c r="H45" s="6">
        <v>1173</v>
      </c>
      <c r="J45" s="5" t="s">
        <v>123</v>
      </c>
      <c r="K45" s="6">
        <v>0</v>
      </c>
    </row>
    <row r="46" spans="1:11" x14ac:dyDescent="0.3">
      <c r="A46" s="5" t="s">
        <v>124</v>
      </c>
      <c r="B46" s="24">
        <v>1173</v>
      </c>
      <c r="D46" s="5" t="s">
        <v>124</v>
      </c>
      <c r="E46" s="24">
        <v>1173</v>
      </c>
      <c r="G46" s="5" t="s">
        <v>124</v>
      </c>
      <c r="H46" s="6">
        <v>1173</v>
      </c>
      <c r="J46" s="5" t="s">
        <v>124</v>
      </c>
      <c r="K46" s="6">
        <v>0</v>
      </c>
    </row>
    <row r="47" spans="1:11" x14ac:dyDescent="0.3">
      <c r="A47" s="5" t="s">
        <v>125</v>
      </c>
      <c r="B47" s="24">
        <v>1173</v>
      </c>
      <c r="D47" s="5" t="s">
        <v>125</v>
      </c>
      <c r="E47" s="24">
        <v>1173</v>
      </c>
      <c r="G47" s="5" t="s">
        <v>125</v>
      </c>
      <c r="H47" s="6">
        <v>1173</v>
      </c>
      <c r="J47" s="5" t="s">
        <v>125</v>
      </c>
      <c r="K47" s="6">
        <v>0</v>
      </c>
    </row>
    <row r="48" spans="1:11" x14ac:dyDescent="0.3">
      <c r="A48" s="5" t="s">
        <v>126</v>
      </c>
      <c r="B48" s="24">
        <v>1173</v>
      </c>
      <c r="D48" s="5" t="s">
        <v>126</v>
      </c>
      <c r="E48" s="24">
        <v>1173</v>
      </c>
      <c r="G48" s="5" t="s">
        <v>126</v>
      </c>
      <c r="H48" s="6">
        <v>1173</v>
      </c>
      <c r="J48" s="7" t="s">
        <v>126</v>
      </c>
      <c r="K48" s="6">
        <v>0</v>
      </c>
    </row>
    <row r="51" spans="1:14" x14ac:dyDescent="0.3">
      <c r="A51" t="s">
        <v>302</v>
      </c>
      <c r="B51" s="2" t="s">
        <v>6</v>
      </c>
      <c r="D51" t="s">
        <v>303</v>
      </c>
      <c r="E51" s="2" t="s">
        <v>6</v>
      </c>
      <c r="G51" t="s">
        <v>304</v>
      </c>
      <c r="H51" t="s">
        <v>6</v>
      </c>
      <c r="J51" t="s">
        <v>305</v>
      </c>
      <c r="K51" t="s">
        <v>6</v>
      </c>
      <c r="M51" t="s">
        <v>306</v>
      </c>
      <c r="N51" t="s">
        <v>6</v>
      </c>
    </row>
    <row r="52" spans="1:14" x14ac:dyDescent="0.3">
      <c r="A52" s="5" t="s">
        <v>119</v>
      </c>
      <c r="B52" s="24">
        <v>0</v>
      </c>
      <c r="D52" s="5" t="s">
        <v>119</v>
      </c>
      <c r="E52" s="24">
        <v>0</v>
      </c>
      <c r="G52" s="5" t="s">
        <v>119</v>
      </c>
      <c r="H52" s="6">
        <v>0</v>
      </c>
      <c r="J52" s="5" t="s">
        <v>119</v>
      </c>
      <c r="K52" s="6">
        <v>0</v>
      </c>
      <c r="M52" s="5" t="s">
        <v>119</v>
      </c>
      <c r="N52" s="6">
        <v>0</v>
      </c>
    </row>
    <row r="53" spans="1:14" x14ac:dyDescent="0.3">
      <c r="A53" s="5" t="s">
        <v>120</v>
      </c>
      <c r="B53" s="24">
        <v>0</v>
      </c>
      <c r="D53" s="5" t="s">
        <v>120</v>
      </c>
      <c r="E53" s="24">
        <v>0</v>
      </c>
      <c r="G53" s="5" t="s">
        <v>120</v>
      </c>
      <c r="H53" s="6">
        <v>0</v>
      </c>
      <c r="J53" s="5" t="s">
        <v>120</v>
      </c>
      <c r="K53" s="6">
        <v>0</v>
      </c>
      <c r="M53" s="5" t="s">
        <v>120</v>
      </c>
      <c r="N53" s="6">
        <v>0</v>
      </c>
    </row>
    <row r="54" spans="1:14" x14ac:dyDescent="0.3">
      <c r="A54" s="5" t="s">
        <v>121</v>
      </c>
      <c r="B54" s="24">
        <v>0</v>
      </c>
      <c r="D54" s="5" t="s">
        <v>121</v>
      </c>
      <c r="E54" s="24">
        <v>0</v>
      </c>
      <c r="G54" s="5" t="s">
        <v>121</v>
      </c>
      <c r="H54" s="6">
        <v>0</v>
      </c>
      <c r="J54" s="5" t="s">
        <v>121</v>
      </c>
      <c r="K54" s="6">
        <v>0</v>
      </c>
      <c r="M54" s="5" t="s">
        <v>121</v>
      </c>
      <c r="N54" s="6">
        <v>0</v>
      </c>
    </row>
    <row r="55" spans="1:14" x14ac:dyDescent="0.3">
      <c r="A55" s="5" t="s">
        <v>122</v>
      </c>
      <c r="B55" s="24">
        <v>1082</v>
      </c>
      <c r="D55" s="5" t="s">
        <v>122</v>
      </c>
      <c r="E55" s="24">
        <v>1082</v>
      </c>
      <c r="G55" s="5" t="s">
        <v>122</v>
      </c>
      <c r="H55" s="6">
        <v>1082</v>
      </c>
      <c r="J55" s="5" t="s">
        <v>122</v>
      </c>
      <c r="K55" s="6">
        <v>1082</v>
      </c>
      <c r="M55" s="5" t="s">
        <v>122</v>
      </c>
      <c r="N55" s="6">
        <v>0</v>
      </c>
    </row>
    <row r="56" spans="1:14" x14ac:dyDescent="0.3">
      <c r="A56" s="5" t="s">
        <v>123</v>
      </c>
      <c r="B56" s="24">
        <v>1082</v>
      </c>
      <c r="D56" s="5" t="s">
        <v>123</v>
      </c>
      <c r="E56" s="24">
        <v>1082</v>
      </c>
      <c r="G56" s="5" t="s">
        <v>123</v>
      </c>
      <c r="H56" s="6">
        <v>1082</v>
      </c>
      <c r="J56" s="5" t="s">
        <v>123</v>
      </c>
      <c r="K56" s="6">
        <v>1082</v>
      </c>
      <c r="M56" s="5" t="s">
        <v>123</v>
      </c>
      <c r="N56" s="6">
        <v>0</v>
      </c>
    </row>
    <row r="57" spans="1:14" x14ac:dyDescent="0.3">
      <c r="A57" s="5" t="s">
        <v>124</v>
      </c>
      <c r="B57" s="24">
        <v>1082</v>
      </c>
      <c r="D57" s="5" t="s">
        <v>124</v>
      </c>
      <c r="E57" s="24">
        <v>1082</v>
      </c>
      <c r="G57" s="5" t="s">
        <v>124</v>
      </c>
      <c r="H57" s="6">
        <v>1082</v>
      </c>
      <c r="J57" s="5" t="s">
        <v>124</v>
      </c>
      <c r="K57" s="6">
        <v>1082</v>
      </c>
      <c r="M57" s="5" t="s">
        <v>124</v>
      </c>
      <c r="N57" s="6">
        <v>0</v>
      </c>
    </row>
    <row r="58" spans="1:14" x14ac:dyDescent="0.3">
      <c r="A58" s="5" t="s">
        <v>125</v>
      </c>
      <c r="B58" s="24">
        <v>1082</v>
      </c>
      <c r="D58" s="5" t="s">
        <v>125</v>
      </c>
      <c r="E58" s="24">
        <v>1082</v>
      </c>
      <c r="G58" s="5" t="s">
        <v>125</v>
      </c>
      <c r="H58" s="6">
        <v>1082</v>
      </c>
      <c r="J58" s="5" t="s">
        <v>125</v>
      </c>
      <c r="K58" s="6">
        <v>1082</v>
      </c>
      <c r="M58" s="5" t="s">
        <v>125</v>
      </c>
      <c r="N58" s="6">
        <v>0</v>
      </c>
    </row>
    <row r="59" spans="1:14" x14ac:dyDescent="0.3">
      <c r="A59" s="5" t="s">
        <v>126</v>
      </c>
      <c r="B59" s="24">
        <v>1082</v>
      </c>
      <c r="D59" s="5" t="s">
        <v>126</v>
      </c>
      <c r="E59" s="24">
        <v>1082</v>
      </c>
      <c r="G59" s="5" t="s">
        <v>126</v>
      </c>
      <c r="H59" s="6">
        <v>1082</v>
      </c>
      <c r="J59" s="5" t="s">
        <v>126</v>
      </c>
      <c r="K59" s="6">
        <v>1082</v>
      </c>
      <c r="M59" s="5" t="s">
        <v>126</v>
      </c>
      <c r="N59" s="6">
        <v>0</v>
      </c>
    </row>
    <row r="60" spans="1:14" x14ac:dyDescent="0.3">
      <c r="A60" s="5" t="s">
        <v>127</v>
      </c>
      <c r="B60" s="24">
        <v>1082</v>
      </c>
      <c r="D60" s="5" t="s">
        <v>127</v>
      </c>
      <c r="E60" s="24">
        <v>1082</v>
      </c>
      <c r="G60" s="5" t="s">
        <v>127</v>
      </c>
      <c r="H60" s="6">
        <v>1082</v>
      </c>
      <c r="J60" s="5" t="s">
        <v>127</v>
      </c>
      <c r="K60" s="6">
        <v>1082</v>
      </c>
      <c r="M60" s="5" t="s">
        <v>127</v>
      </c>
      <c r="N60" s="6">
        <v>0</v>
      </c>
    </row>
    <row r="63" spans="1:14" x14ac:dyDescent="0.3">
      <c r="A63" t="s">
        <v>340</v>
      </c>
      <c r="B63" s="2" t="s">
        <v>6</v>
      </c>
    </row>
    <row r="64" spans="1:14" x14ac:dyDescent="0.3">
      <c r="A64" t="s">
        <v>341</v>
      </c>
      <c r="B64" s="2">
        <v>0</v>
      </c>
    </row>
    <row r="65" spans="1:2" x14ac:dyDescent="0.3">
      <c r="A65" t="s">
        <v>51</v>
      </c>
      <c r="B65" s="2">
        <v>1468</v>
      </c>
    </row>
    <row r="66" spans="1:2" x14ac:dyDescent="0.3">
      <c r="A66" t="s">
        <v>342</v>
      </c>
      <c r="B66" s="2">
        <v>1468</v>
      </c>
    </row>
    <row r="67" spans="1:2" x14ac:dyDescent="0.3">
      <c r="A67" t="s">
        <v>343</v>
      </c>
      <c r="B67" s="2">
        <v>1468</v>
      </c>
    </row>
    <row r="68" spans="1:2" x14ac:dyDescent="0.3">
      <c r="A68" t="s">
        <v>344</v>
      </c>
      <c r="B68" s="2">
        <v>1468</v>
      </c>
    </row>
    <row r="69" spans="1:2" x14ac:dyDescent="0.3">
      <c r="A69" t="s">
        <v>55</v>
      </c>
      <c r="B69" s="2">
        <v>1468</v>
      </c>
    </row>
    <row r="70" spans="1:2" x14ac:dyDescent="0.3">
      <c r="A70" t="s">
        <v>56</v>
      </c>
      <c r="B70" s="2">
        <v>1468</v>
      </c>
    </row>
    <row r="71" spans="1:2" x14ac:dyDescent="0.3">
      <c r="A71" t="s">
        <v>345</v>
      </c>
      <c r="B71" s="2">
        <v>1468</v>
      </c>
    </row>
    <row r="74" spans="1:2" x14ac:dyDescent="0.3">
      <c r="A74" t="s">
        <v>404</v>
      </c>
      <c r="B74" s="2" t="s">
        <v>6</v>
      </c>
    </row>
    <row r="75" spans="1:2" x14ac:dyDescent="0.3">
      <c r="A75" s="5" t="s">
        <v>48</v>
      </c>
      <c r="B75" s="24">
        <v>0</v>
      </c>
    </row>
    <row r="76" spans="1:2" x14ac:dyDescent="0.3">
      <c r="A76" s="5" t="s">
        <v>49</v>
      </c>
      <c r="B76" s="24">
        <v>0</v>
      </c>
    </row>
    <row r="77" spans="1:2" x14ac:dyDescent="0.3">
      <c r="A77" s="5" t="s">
        <v>50</v>
      </c>
      <c r="B77" s="24">
        <v>0</v>
      </c>
    </row>
    <row r="78" spans="1:2" x14ac:dyDescent="0.3">
      <c r="A78" s="5" t="s">
        <v>51</v>
      </c>
      <c r="B78" s="24">
        <v>0</v>
      </c>
    </row>
    <row r="79" spans="1:2" x14ac:dyDescent="0.3">
      <c r="A79" s="21" t="s">
        <v>400</v>
      </c>
      <c r="B79" s="29">
        <v>0</v>
      </c>
    </row>
    <row r="80" spans="1:2" x14ac:dyDescent="0.3">
      <c r="A80" s="5" t="s">
        <v>343</v>
      </c>
      <c r="B80" s="29">
        <v>0</v>
      </c>
    </row>
    <row r="81" spans="1:2" x14ac:dyDescent="0.3">
      <c r="A81" s="21" t="s">
        <v>53</v>
      </c>
      <c r="B81" s="29">
        <v>0</v>
      </c>
    </row>
    <row r="82" spans="1:2" x14ac:dyDescent="0.3">
      <c r="A82" s="5" t="s">
        <v>55</v>
      </c>
      <c r="B82" s="29">
        <v>0</v>
      </c>
    </row>
    <row r="83" spans="1:2" x14ac:dyDescent="0.3">
      <c r="A83" s="21" t="s">
        <v>401</v>
      </c>
      <c r="B83" s="29">
        <v>0</v>
      </c>
    </row>
    <row r="84" spans="1:2" x14ac:dyDescent="0.3">
      <c r="A84" s="21" t="s">
        <v>402</v>
      </c>
      <c r="B84" s="29">
        <v>2028</v>
      </c>
    </row>
    <row r="85" spans="1:2" x14ac:dyDescent="0.3">
      <c r="A85" s="21" t="s">
        <v>403</v>
      </c>
      <c r="B85" s="29">
        <v>1119</v>
      </c>
    </row>
    <row r="86" spans="1:2" x14ac:dyDescent="0.3">
      <c r="A86" s="21" t="s">
        <v>59</v>
      </c>
      <c r="B86" s="29">
        <v>559</v>
      </c>
    </row>
    <row r="87" spans="1:2" x14ac:dyDescent="0.3">
      <c r="A87" s="21" t="s">
        <v>78</v>
      </c>
      <c r="B87" s="29">
        <v>3654</v>
      </c>
    </row>
    <row r="88" spans="1:2" x14ac:dyDescent="0.3">
      <c r="A88" s="21" t="s">
        <v>79</v>
      </c>
      <c r="B88" s="29">
        <v>3654</v>
      </c>
    </row>
    <row r="89" spans="1:2" x14ac:dyDescent="0.3">
      <c r="A89" s="21" t="s">
        <v>80</v>
      </c>
      <c r="B89" s="2">
        <v>6206</v>
      </c>
    </row>
    <row r="90" spans="1:2" x14ac:dyDescent="0.3">
      <c r="A90" s="21" t="s">
        <v>81</v>
      </c>
      <c r="B90" s="29">
        <v>6206</v>
      </c>
    </row>
    <row r="93" spans="1:2" x14ac:dyDescent="0.3">
      <c r="A93" t="s">
        <v>511</v>
      </c>
      <c r="B93" s="2" t="s">
        <v>6</v>
      </c>
    </row>
    <row r="94" spans="1:2" x14ac:dyDescent="0.3">
      <c r="A94" s="5" t="s">
        <v>48</v>
      </c>
      <c r="B94" s="24">
        <v>0</v>
      </c>
    </row>
    <row r="95" spans="1:2" x14ac:dyDescent="0.3">
      <c r="A95" s="5" t="s">
        <v>51</v>
      </c>
      <c r="B95" s="24">
        <v>0</v>
      </c>
    </row>
    <row r="96" spans="1:2" x14ac:dyDescent="0.3">
      <c r="A96" s="21" t="s">
        <v>400</v>
      </c>
      <c r="B96" s="29">
        <v>0</v>
      </c>
    </row>
    <row r="97" spans="1:2" x14ac:dyDescent="0.3">
      <c r="A97" s="21" t="s">
        <v>512</v>
      </c>
      <c r="B97" s="29">
        <v>0</v>
      </c>
    </row>
    <row r="98" spans="1:2" x14ac:dyDescent="0.3">
      <c r="A98" s="21" t="s">
        <v>53</v>
      </c>
      <c r="B98" s="29">
        <v>0</v>
      </c>
    </row>
    <row r="99" spans="1:2" x14ac:dyDescent="0.3">
      <c r="A99" s="5" t="s">
        <v>55</v>
      </c>
      <c r="B99" s="29">
        <v>0</v>
      </c>
    </row>
    <row r="100" spans="1:2" x14ac:dyDescent="0.3">
      <c r="A100" s="21" t="s">
        <v>513</v>
      </c>
      <c r="B100" s="29">
        <v>0</v>
      </c>
    </row>
    <row r="101" spans="1:2" x14ac:dyDescent="0.3">
      <c r="A101" s="21" t="s">
        <v>57</v>
      </c>
      <c r="B101" s="29">
        <v>0</v>
      </c>
    </row>
    <row r="102" spans="1:2" x14ac:dyDescent="0.3">
      <c r="A102" s="21" t="s">
        <v>514</v>
      </c>
      <c r="B102" s="29">
        <v>0</v>
      </c>
    </row>
    <row r="103" spans="1:2" x14ac:dyDescent="0.3">
      <c r="A103" s="21" t="s">
        <v>401</v>
      </c>
      <c r="B103" s="29">
        <v>0</v>
      </c>
    </row>
    <row r="104" spans="1:2" x14ac:dyDescent="0.3">
      <c r="A104" s="21" t="s">
        <v>515</v>
      </c>
      <c r="B104" s="29">
        <v>0</v>
      </c>
    </row>
    <row r="105" spans="1:2" x14ac:dyDescent="0.3">
      <c r="A105" s="21" t="s">
        <v>403</v>
      </c>
      <c r="B105" s="29">
        <v>1294</v>
      </c>
    </row>
    <row r="106" spans="1:2" x14ac:dyDescent="0.3">
      <c r="A106" s="21" t="s">
        <v>78</v>
      </c>
      <c r="B106" s="29">
        <v>4458</v>
      </c>
    </row>
    <row r="107" spans="1:2" x14ac:dyDescent="0.3">
      <c r="A107" s="21" t="s">
        <v>80</v>
      </c>
      <c r="B107" s="2">
        <v>5467</v>
      </c>
    </row>
    <row r="108" spans="1:2" x14ac:dyDescent="0.3">
      <c r="A108" s="21" t="s">
        <v>81</v>
      </c>
      <c r="B108" s="29">
        <v>5467</v>
      </c>
    </row>
    <row r="111" spans="1:2" x14ac:dyDescent="0.3">
      <c r="A111" t="s">
        <v>624</v>
      </c>
      <c r="B111" s="2" t="s">
        <v>6</v>
      </c>
    </row>
    <row r="112" spans="1:2" x14ac:dyDescent="0.3">
      <c r="A112" s="5" t="s">
        <v>48</v>
      </c>
      <c r="B112" s="24">
        <v>0</v>
      </c>
    </row>
    <row r="113" spans="1:2" x14ac:dyDescent="0.3">
      <c r="A113" s="5" t="s">
        <v>51</v>
      </c>
      <c r="B113" s="24">
        <v>0</v>
      </c>
    </row>
    <row r="114" spans="1:2" x14ac:dyDescent="0.3">
      <c r="A114" s="21" t="s">
        <v>400</v>
      </c>
      <c r="B114" s="29">
        <v>0</v>
      </c>
    </row>
    <row r="115" spans="1:2" x14ac:dyDescent="0.3">
      <c r="A115" s="21" t="s">
        <v>53</v>
      </c>
      <c r="B115" s="29">
        <v>0</v>
      </c>
    </row>
    <row r="116" spans="1:2" x14ac:dyDescent="0.3">
      <c r="A116" s="5" t="s">
        <v>55</v>
      </c>
      <c r="B116" s="29">
        <v>0</v>
      </c>
    </row>
    <row r="117" spans="1:2" x14ac:dyDescent="0.3">
      <c r="A117" s="21" t="s">
        <v>513</v>
      </c>
      <c r="B117" s="29">
        <v>0</v>
      </c>
    </row>
    <row r="118" spans="1:2" x14ac:dyDescent="0.3">
      <c r="A118" s="21" t="s">
        <v>57</v>
      </c>
      <c r="B118" s="29">
        <v>0</v>
      </c>
    </row>
    <row r="119" spans="1:2" x14ac:dyDescent="0.3">
      <c r="A119" s="21" t="s">
        <v>514</v>
      </c>
      <c r="B119" s="29">
        <v>0</v>
      </c>
    </row>
    <row r="120" spans="1:2" x14ac:dyDescent="0.3">
      <c r="A120" s="21" t="s">
        <v>401</v>
      </c>
      <c r="B120" s="29">
        <v>0</v>
      </c>
    </row>
    <row r="121" spans="1:2" x14ac:dyDescent="0.3">
      <c r="A121" s="21" t="s">
        <v>515</v>
      </c>
      <c r="B121" s="29">
        <v>0</v>
      </c>
    </row>
    <row r="122" spans="1:2" x14ac:dyDescent="0.3">
      <c r="A122" s="21" t="s">
        <v>403</v>
      </c>
      <c r="B122" s="29">
        <v>1678</v>
      </c>
    </row>
    <row r="123" spans="1:2" x14ac:dyDescent="0.3">
      <c r="A123" s="21" t="s">
        <v>78</v>
      </c>
      <c r="B123" s="29">
        <v>4458</v>
      </c>
    </row>
    <row r="124" spans="1:2" x14ac:dyDescent="0.3">
      <c r="A124" s="21" t="s">
        <v>80</v>
      </c>
      <c r="B124" s="2">
        <v>5467</v>
      </c>
    </row>
    <row r="125" spans="1:2" x14ac:dyDescent="0.3">
      <c r="A125" s="21" t="s">
        <v>81</v>
      </c>
      <c r="B125" s="29">
        <v>5467</v>
      </c>
    </row>
    <row r="128" spans="1:2" x14ac:dyDescent="0.3">
      <c r="A128" t="s">
        <v>676</v>
      </c>
      <c r="B128" s="2" t="s">
        <v>6</v>
      </c>
    </row>
    <row r="129" spans="1:5" x14ac:dyDescent="0.3">
      <c r="A129" s="5" t="s">
        <v>48</v>
      </c>
      <c r="B129" s="24">
        <v>0</v>
      </c>
    </row>
    <row r="130" spans="1:5" x14ac:dyDescent="0.3">
      <c r="A130" s="5" t="s">
        <v>51</v>
      </c>
      <c r="B130" s="24">
        <v>0</v>
      </c>
    </row>
    <row r="131" spans="1:5" x14ac:dyDescent="0.3">
      <c r="A131" s="5" t="s">
        <v>49</v>
      </c>
      <c r="B131" s="29">
        <v>0</v>
      </c>
    </row>
    <row r="132" spans="1:5" x14ac:dyDescent="0.3">
      <c r="A132" s="21" t="s">
        <v>674</v>
      </c>
      <c r="B132" s="29">
        <v>0</v>
      </c>
    </row>
    <row r="133" spans="1:5" x14ac:dyDescent="0.3">
      <c r="A133" s="21" t="s">
        <v>53</v>
      </c>
      <c r="B133" s="29">
        <v>0</v>
      </c>
    </row>
    <row r="134" spans="1:5" x14ac:dyDescent="0.3">
      <c r="A134" s="5" t="s">
        <v>52</v>
      </c>
      <c r="B134" s="29">
        <v>0</v>
      </c>
    </row>
    <row r="135" spans="1:5" x14ac:dyDescent="0.3">
      <c r="A135" t="s">
        <v>54</v>
      </c>
      <c r="B135" s="29">
        <v>0</v>
      </c>
    </row>
    <row r="136" spans="1:5" x14ac:dyDescent="0.3">
      <c r="A136" s="21" t="s">
        <v>57</v>
      </c>
      <c r="B136" s="29">
        <v>0</v>
      </c>
    </row>
    <row r="137" spans="1:5" x14ac:dyDescent="0.3">
      <c r="A137" s="21" t="s">
        <v>675</v>
      </c>
      <c r="B137" s="29">
        <v>0</v>
      </c>
    </row>
    <row r="138" spans="1:5" x14ac:dyDescent="0.3">
      <c r="A138" s="5" t="s">
        <v>55</v>
      </c>
      <c r="B138" s="29">
        <v>0</v>
      </c>
    </row>
    <row r="139" spans="1:5" x14ac:dyDescent="0.3">
      <c r="A139" s="21" t="s">
        <v>403</v>
      </c>
      <c r="B139" s="29">
        <v>1259</v>
      </c>
    </row>
    <row r="142" spans="1:5" x14ac:dyDescent="0.3">
      <c r="A142" t="s">
        <v>748</v>
      </c>
      <c r="B142" s="2" t="s">
        <v>6</v>
      </c>
      <c r="D142" t="s">
        <v>749</v>
      </c>
      <c r="E142" s="2" t="s">
        <v>6</v>
      </c>
    </row>
    <row r="143" spans="1:5" x14ac:dyDescent="0.3">
      <c r="A143" s="5" t="s">
        <v>48</v>
      </c>
      <c r="B143" s="24">
        <v>0</v>
      </c>
      <c r="D143" s="5" t="s">
        <v>744</v>
      </c>
      <c r="E143" s="24">
        <v>0</v>
      </c>
    </row>
    <row r="144" spans="1:5" x14ac:dyDescent="0.3">
      <c r="A144" s="5" t="s">
        <v>49</v>
      </c>
      <c r="B144" s="24">
        <v>0</v>
      </c>
      <c r="D144" s="5" t="s">
        <v>51</v>
      </c>
      <c r="E144" s="24">
        <v>0</v>
      </c>
    </row>
    <row r="145" spans="1:5" x14ac:dyDescent="0.3">
      <c r="A145" s="5" t="s">
        <v>744</v>
      </c>
      <c r="B145" s="24">
        <v>1468</v>
      </c>
      <c r="D145" s="21" t="s">
        <v>52</v>
      </c>
      <c r="E145" s="24">
        <v>0</v>
      </c>
    </row>
    <row r="146" spans="1:5" x14ac:dyDescent="0.3">
      <c r="A146" s="5" t="s">
        <v>51</v>
      </c>
      <c r="B146" s="24">
        <v>1468</v>
      </c>
      <c r="D146" s="5" t="s">
        <v>343</v>
      </c>
      <c r="E146" s="24">
        <v>0</v>
      </c>
    </row>
    <row r="147" spans="1:5" x14ac:dyDescent="0.3">
      <c r="A147" s="21" t="s">
        <v>52</v>
      </c>
      <c r="B147" s="24">
        <v>1468</v>
      </c>
      <c r="D147" s="21" t="s">
        <v>53</v>
      </c>
      <c r="E147" s="24">
        <v>0</v>
      </c>
    </row>
    <row r="148" spans="1:5" x14ac:dyDescent="0.3">
      <c r="A148" s="5" t="s">
        <v>343</v>
      </c>
      <c r="B148" s="24">
        <v>1468</v>
      </c>
      <c r="D148" s="5" t="s">
        <v>55</v>
      </c>
      <c r="E148" s="24">
        <v>0</v>
      </c>
    </row>
    <row r="149" spans="1:5" x14ac:dyDescent="0.3">
      <c r="A149" s="21" t="s">
        <v>53</v>
      </c>
      <c r="B149" s="24">
        <v>1468</v>
      </c>
      <c r="D149" s="21" t="s">
        <v>54</v>
      </c>
      <c r="E149" s="24">
        <v>0</v>
      </c>
    </row>
    <row r="150" spans="1:5" x14ac:dyDescent="0.3">
      <c r="A150" s="5" t="s">
        <v>55</v>
      </c>
      <c r="B150" s="24">
        <v>1468</v>
      </c>
      <c r="D150" s="21" t="s">
        <v>57</v>
      </c>
      <c r="E150" s="24">
        <v>0</v>
      </c>
    </row>
    <row r="151" spans="1:5" x14ac:dyDescent="0.3">
      <c r="A151" s="21" t="s">
        <v>54</v>
      </c>
      <c r="B151" s="24">
        <v>1468</v>
      </c>
      <c r="D151" s="21" t="s">
        <v>745</v>
      </c>
      <c r="E151" s="29">
        <v>699</v>
      </c>
    </row>
    <row r="152" spans="1:5" x14ac:dyDescent="0.3">
      <c r="A152" s="21" t="s">
        <v>57</v>
      </c>
      <c r="B152" s="24">
        <v>1468</v>
      </c>
      <c r="D152" s="21" t="s">
        <v>746</v>
      </c>
      <c r="E152" s="29">
        <v>699</v>
      </c>
    </row>
    <row r="153" spans="1:5" x14ac:dyDescent="0.3">
      <c r="A153" s="21" t="s">
        <v>745</v>
      </c>
      <c r="B153" s="29">
        <v>2167</v>
      </c>
      <c r="D153" s="5" t="s">
        <v>747</v>
      </c>
      <c r="E153" s="24">
        <v>4406</v>
      </c>
    </row>
    <row r="154" spans="1:5" x14ac:dyDescent="0.3">
      <c r="A154" s="21" t="s">
        <v>746</v>
      </c>
      <c r="B154" s="29">
        <v>2167</v>
      </c>
      <c r="D154" s="5" t="s">
        <v>78</v>
      </c>
      <c r="E154" s="24">
        <v>4126</v>
      </c>
    </row>
    <row r="155" spans="1:5" x14ac:dyDescent="0.3">
      <c r="A155" s="31"/>
      <c r="B155" s="37"/>
      <c r="D155" s="5" t="s">
        <v>79</v>
      </c>
      <c r="E155" s="24">
        <v>4126</v>
      </c>
    </row>
    <row r="156" spans="1:5" x14ac:dyDescent="0.3">
      <c r="A156" s="31"/>
      <c r="B156" s="37"/>
      <c r="D156" s="5" t="s">
        <v>80</v>
      </c>
      <c r="E156" s="24">
        <v>5874</v>
      </c>
    </row>
    <row r="157" spans="1:5" x14ac:dyDescent="0.3">
      <c r="A157" s="31"/>
      <c r="B157" s="37"/>
      <c r="D157" s="7" t="s">
        <v>81</v>
      </c>
      <c r="E157" s="27">
        <v>5874</v>
      </c>
    </row>
    <row r="158" spans="1:5" x14ac:dyDescent="0.3">
      <c r="A158" s="31"/>
      <c r="B158" s="37"/>
    </row>
    <row r="159" spans="1:5" x14ac:dyDescent="0.3">
      <c r="A159" s="31"/>
      <c r="B159" s="37"/>
    </row>
    <row r="160" spans="1:5" x14ac:dyDescent="0.3">
      <c r="A160" t="s">
        <v>821</v>
      </c>
      <c r="B160" s="2" t="s">
        <v>6</v>
      </c>
    </row>
    <row r="161" spans="1:2" x14ac:dyDescent="0.3">
      <c r="A161" s="5" t="s">
        <v>400</v>
      </c>
      <c r="B161" s="24">
        <v>0</v>
      </c>
    </row>
    <row r="162" spans="1:2" x14ac:dyDescent="0.3">
      <c r="A162" s="5" t="s">
        <v>51</v>
      </c>
      <c r="B162" s="24">
        <v>0</v>
      </c>
    </row>
    <row r="163" spans="1:2" x14ac:dyDescent="0.3">
      <c r="A163" s="5" t="s">
        <v>52</v>
      </c>
      <c r="B163" s="24">
        <v>0</v>
      </c>
    </row>
    <row r="164" spans="1:2" x14ac:dyDescent="0.3">
      <c r="A164" s="5" t="s">
        <v>53</v>
      </c>
      <c r="B164" s="24">
        <v>0</v>
      </c>
    </row>
    <row r="165" spans="1:2" x14ac:dyDescent="0.3">
      <c r="A165" s="5" t="s">
        <v>55</v>
      </c>
      <c r="B165" s="24">
        <v>0</v>
      </c>
    </row>
    <row r="166" spans="1:2" x14ac:dyDescent="0.3">
      <c r="A166" s="5" t="s">
        <v>54</v>
      </c>
      <c r="B166" s="24">
        <v>0</v>
      </c>
    </row>
    <row r="167" spans="1:2" x14ac:dyDescent="0.3">
      <c r="A167" s="25" t="s">
        <v>822</v>
      </c>
      <c r="B167" s="24">
        <v>0</v>
      </c>
    </row>
    <row r="168" spans="1:2" x14ac:dyDescent="0.3">
      <c r="A168" s="5" t="s">
        <v>57</v>
      </c>
      <c r="B168" s="24">
        <v>0</v>
      </c>
    </row>
    <row r="169" spans="1:2" x14ac:dyDescent="0.3">
      <c r="A169" s="5" t="s">
        <v>78</v>
      </c>
      <c r="B169" s="26">
        <v>4126</v>
      </c>
    </row>
    <row r="170" spans="1:2" x14ac:dyDescent="0.3">
      <c r="A170" s="5" t="s">
        <v>80</v>
      </c>
      <c r="B170" s="26">
        <v>5874</v>
      </c>
    </row>
    <row r="171" spans="1:2" x14ac:dyDescent="0.3">
      <c r="A171" s="7" t="s">
        <v>81</v>
      </c>
      <c r="B171" s="26">
        <v>5874</v>
      </c>
    </row>
    <row r="172" spans="1:2" x14ac:dyDescent="0.3">
      <c r="A172" s="5" t="s">
        <v>59</v>
      </c>
      <c r="B172" s="2">
        <v>699</v>
      </c>
    </row>
    <row r="173" spans="1:2" x14ac:dyDescent="0.3">
      <c r="A173" s="5" t="s">
        <v>403</v>
      </c>
      <c r="B173" s="2">
        <v>699</v>
      </c>
    </row>
    <row r="174" spans="1:2" x14ac:dyDescent="0.3">
      <c r="A174" s="25" t="s">
        <v>823</v>
      </c>
      <c r="B174" s="2">
        <v>2168</v>
      </c>
    </row>
    <row r="177" spans="1:5" x14ac:dyDescent="0.3">
      <c r="A177" t="s">
        <v>896</v>
      </c>
      <c r="B177" s="2" t="s">
        <v>6</v>
      </c>
      <c r="D177" t="s">
        <v>901</v>
      </c>
      <c r="E177" s="2" t="s">
        <v>6</v>
      </c>
    </row>
    <row r="178" spans="1:5" x14ac:dyDescent="0.3">
      <c r="A178" s="5" t="s">
        <v>48</v>
      </c>
      <c r="B178" s="24">
        <v>0</v>
      </c>
      <c r="D178" s="5" t="s">
        <v>49</v>
      </c>
      <c r="E178" s="24">
        <v>0</v>
      </c>
    </row>
    <row r="179" spans="1:5" x14ac:dyDescent="0.3">
      <c r="A179" s="5" t="s">
        <v>49</v>
      </c>
      <c r="B179" s="24">
        <v>0</v>
      </c>
      <c r="D179" s="5" t="s">
        <v>51</v>
      </c>
      <c r="E179" s="24">
        <v>0</v>
      </c>
    </row>
    <row r="180" spans="1:5" x14ac:dyDescent="0.3">
      <c r="A180" s="5" t="s">
        <v>51</v>
      </c>
      <c r="B180" s="24">
        <v>1392</v>
      </c>
      <c r="D180" s="21" t="s">
        <v>52</v>
      </c>
      <c r="E180" s="24">
        <v>0</v>
      </c>
    </row>
    <row r="181" spans="1:5" x14ac:dyDescent="0.3">
      <c r="A181" s="21" t="s">
        <v>52</v>
      </c>
      <c r="B181" s="24">
        <v>1392</v>
      </c>
      <c r="D181" s="21" t="s">
        <v>53</v>
      </c>
      <c r="E181" s="24">
        <v>0</v>
      </c>
    </row>
    <row r="182" spans="1:5" x14ac:dyDescent="0.3">
      <c r="A182" s="21" t="s">
        <v>53</v>
      </c>
      <c r="B182" s="24">
        <v>1392</v>
      </c>
      <c r="D182" s="21" t="s">
        <v>54</v>
      </c>
      <c r="E182" s="24">
        <v>0</v>
      </c>
    </row>
    <row r="183" spans="1:5" x14ac:dyDescent="0.3">
      <c r="A183" s="5" t="s">
        <v>55</v>
      </c>
      <c r="B183" s="24">
        <v>1392</v>
      </c>
      <c r="D183" s="21" t="s">
        <v>57</v>
      </c>
      <c r="E183" s="24">
        <v>0</v>
      </c>
    </row>
    <row r="184" spans="1:5" x14ac:dyDescent="0.3">
      <c r="A184" s="21" t="s">
        <v>54</v>
      </c>
      <c r="B184" s="24">
        <v>1392</v>
      </c>
      <c r="D184" s="21" t="s">
        <v>898</v>
      </c>
      <c r="E184" s="29">
        <v>699</v>
      </c>
    </row>
    <row r="185" spans="1:5" x14ac:dyDescent="0.3">
      <c r="A185" s="21" t="s">
        <v>57</v>
      </c>
      <c r="B185" s="24">
        <v>1392</v>
      </c>
      <c r="D185" s="21" t="s">
        <v>899</v>
      </c>
      <c r="E185" s="29">
        <v>699</v>
      </c>
    </row>
    <row r="186" spans="1:5" x14ac:dyDescent="0.3">
      <c r="A186" s="21" t="s">
        <v>898</v>
      </c>
      <c r="B186" s="29">
        <v>2091</v>
      </c>
      <c r="D186" s="32" t="s">
        <v>897</v>
      </c>
      <c r="E186" s="43">
        <v>0</v>
      </c>
    </row>
    <row r="187" spans="1:5" x14ac:dyDescent="0.3">
      <c r="A187" s="21" t="s">
        <v>899</v>
      </c>
      <c r="B187" s="29">
        <v>2091</v>
      </c>
      <c r="D187" s="32" t="s">
        <v>900</v>
      </c>
      <c r="E187" s="43">
        <v>699</v>
      </c>
    </row>
    <row r="190" spans="1:5" x14ac:dyDescent="0.3">
      <c r="A190" t="s">
        <v>951</v>
      </c>
      <c r="B190" s="2" t="s">
        <v>6</v>
      </c>
    </row>
    <row r="191" spans="1:5" x14ac:dyDescent="0.3">
      <c r="A191" t="s">
        <v>952</v>
      </c>
      <c r="B191" s="2">
        <v>0</v>
      </c>
    </row>
    <row r="192" spans="1:5" x14ac:dyDescent="0.3">
      <c r="A192" t="s">
        <v>120</v>
      </c>
      <c r="B192" s="2">
        <v>0</v>
      </c>
    </row>
    <row r="193" spans="1:2" x14ac:dyDescent="0.3">
      <c r="A193" t="s">
        <v>121</v>
      </c>
      <c r="B193" s="2">
        <v>0</v>
      </c>
    </row>
    <row r="194" spans="1:2" x14ac:dyDescent="0.3">
      <c r="A194" t="s">
        <v>122</v>
      </c>
      <c r="B194" s="2">
        <v>1082</v>
      </c>
    </row>
    <row r="195" spans="1:2" x14ac:dyDescent="0.3">
      <c r="A195" t="s">
        <v>123</v>
      </c>
      <c r="B195" s="2">
        <v>1082</v>
      </c>
    </row>
    <row r="196" spans="1:2" x14ac:dyDescent="0.3">
      <c r="A196" t="s">
        <v>124</v>
      </c>
      <c r="B196" s="2">
        <v>1082</v>
      </c>
    </row>
    <row r="197" spans="1:2" x14ac:dyDescent="0.3">
      <c r="A197" t="s">
        <v>953</v>
      </c>
      <c r="B197" s="2">
        <v>1082</v>
      </c>
    </row>
    <row r="198" spans="1:2" x14ac:dyDescent="0.3">
      <c r="A198" t="s">
        <v>126</v>
      </c>
      <c r="B198" s="2">
        <v>1082</v>
      </c>
    </row>
    <row r="199" spans="1:2" x14ac:dyDescent="0.3">
      <c r="A199" t="s">
        <v>127</v>
      </c>
      <c r="B199" s="2">
        <v>1082</v>
      </c>
    </row>
  </sheetData>
  <pageMargins left="0.7" right="0.7" top="0.75" bottom="0.75" header="0.3" footer="0.3"/>
  <pageSetup paperSize="9" orientation="portrait" r:id="rId1"/>
  <tableParts count="30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377"/>
  <sheetViews>
    <sheetView topLeftCell="A106" workbookViewId="0">
      <selection activeCell="E373" sqref="E373"/>
    </sheetView>
  </sheetViews>
  <sheetFormatPr defaultRowHeight="14.4" x14ac:dyDescent="0.3"/>
  <cols>
    <col min="1" max="1" width="72.88671875" customWidth="1"/>
    <col min="2" max="2" width="15.109375" style="2" bestFit="1" customWidth="1"/>
    <col min="3" max="3" width="59.109375" bestFit="1" customWidth="1"/>
  </cols>
  <sheetData>
    <row r="1" spans="1:3" x14ac:dyDescent="0.3">
      <c r="A1" t="s">
        <v>40</v>
      </c>
      <c r="B1" s="2" t="s">
        <v>6</v>
      </c>
      <c r="C1" t="s">
        <v>42</v>
      </c>
    </row>
    <row r="2" spans="1:3" x14ac:dyDescent="0.3">
      <c r="A2" t="s">
        <v>41</v>
      </c>
      <c r="B2" s="2">
        <v>0</v>
      </c>
      <c r="C2" t="s">
        <v>43</v>
      </c>
    </row>
    <row r="3" spans="1:3" x14ac:dyDescent="0.3">
      <c r="A3" t="s">
        <v>44</v>
      </c>
      <c r="B3" s="2">
        <v>367</v>
      </c>
      <c r="C3" t="s">
        <v>96</v>
      </c>
    </row>
    <row r="4" spans="1:3" x14ac:dyDescent="0.3">
      <c r="A4" t="s">
        <v>45</v>
      </c>
      <c r="B4" s="2">
        <v>0</v>
      </c>
      <c r="C4" t="s">
        <v>43</v>
      </c>
    </row>
    <row r="5" spans="1:3" x14ac:dyDescent="0.3">
      <c r="A5" t="s">
        <v>46</v>
      </c>
      <c r="B5" s="2">
        <v>367</v>
      </c>
      <c r="C5" t="s">
        <v>96</v>
      </c>
    </row>
    <row r="6" spans="1:3" x14ac:dyDescent="0.3">
      <c r="A6" t="s">
        <v>63</v>
      </c>
      <c r="B6" s="2">
        <v>0</v>
      </c>
      <c r="C6" t="s">
        <v>96</v>
      </c>
    </row>
    <row r="9" spans="1:3" x14ac:dyDescent="0.3">
      <c r="A9" t="s">
        <v>85</v>
      </c>
      <c r="B9" s="2" t="s">
        <v>6</v>
      </c>
      <c r="C9" t="s">
        <v>42</v>
      </c>
    </row>
    <row r="10" spans="1:3" x14ac:dyDescent="0.3">
      <c r="A10" s="7" t="s">
        <v>86</v>
      </c>
      <c r="B10" s="23">
        <v>367</v>
      </c>
      <c r="C10" t="s">
        <v>96</v>
      </c>
    </row>
    <row r="11" spans="1:3" x14ac:dyDescent="0.3">
      <c r="A11" s="5" t="s">
        <v>41</v>
      </c>
      <c r="B11" s="22">
        <v>0</v>
      </c>
      <c r="C11" s="13" t="s">
        <v>43</v>
      </c>
    </row>
    <row r="12" spans="1:3" x14ac:dyDescent="0.3">
      <c r="A12" s="5" t="s">
        <v>44</v>
      </c>
      <c r="B12" s="22">
        <v>0</v>
      </c>
      <c r="C12" t="s">
        <v>96</v>
      </c>
    </row>
    <row r="13" spans="1:3" x14ac:dyDescent="0.3">
      <c r="A13" s="5" t="s">
        <v>45</v>
      </c>
      <c r="B13" s="22">
        <v>0</v>
      </c>
      <c r="C13" s="13" t="s">
        <v>43</v>
      </c>
    </row>
    <row r="14" spans="1:3" x14ac:dyDescent="0.3">
      <c r="A14" s="5" t="s">
        <v>87</v>
      </c>
      <c r="B14" s="22">
        <v>0</v>
      </c>
      <c r="C14" t="s">
        <v>96</v>
      </c>
    </row>
    <row r="17" spans="1:3" x14ac:dyDescent="0.3">
      <c r="A17" t="s">
        <v>92</v>
      </c>
      <c r="B17" s="2" t="s">
        <v>6</v>
      </c>
      <c r="C17" t="s">
        <v>42</v>
      </c>
    </row>
    <row r="18" spans="1:3" x14ac:dyDescent="0.3">
      <c r="A18" s="7" t="s">
        <v>86</v>
      </c>
      <c r="B18" s="23">
        <v>315</v>
      </c>
      <c r="C18" t="s">
        <v>96</v>
      </c>
    </row>
    <row r="19" spans="1:3" x14ac:dyDescent="0.3">
      <c r="A19" s="5" t="s">
        <v>41</v>
      </c>
      <c r="B19" s="22">
        <v>0</v>
      </c>
      <c r="C19" s="13" t="s">
        <v>43</v>
      </c>
    </row>
    <row r="20" spans="1:3" x14ac:dyDescent="0.3">
      <c r="A20" s="5" t="s">
        <v>93</v>
      </c>
      <c r="B20" s="22">
        <v>0</v>
      </c>
      <c r="C20" t="s">
        <v>96</v>
      </c>
    </row>
    <row r="21" spans="1:3" x14ac:dyDescent="0.3">
      <c r="A21" s="5" t="s">
        <v>45</v>
      </c>
      <c r="B21" s="22">
        <v>0</v>
      </c>
      <c r="C21" s="13" t="s">
        <v>43</v>
      </c>
    </row>
    <row r="22" spans="1:3" x14ac:dyDescent="0.3">
      <c r="A22" s="5" t="s">
        <v>94</v>
      </c>
      <c r="B22" s="22">
        <v>0</v>
      </c>
      <c r="C22" t="s">
        <v>96</v>
      </c>
    </row>
    <row r="23" spans="1:3" x14ac:dyDescent="0.3">
      <c r="A23" s="5" t="s">
        <v>95</v>
      </c>
      <c r="B23" s="22">
        <v>0</v>
      </c>
      <c r="C23" t="s">
        <v>96</v>
      </c>
    </row>
    <row r="25" spans="1:3" x14ac:dyDescent="0.3">
      <c r="A25" t="s">
        <v>102</v>
      </c>
      <c r="B25" s="39" t="s">
        <v>6</v>
      </c>
      <c r="C25" s="4" t="s">
        <v>42</v>
      </c>
    </row>
    <row r="26" spans="1:3" x14ac:dyDescent="0.3">
      <c r="A26" t="s">
        <v>103</v>
      </c>
      <c r="B26" s="2">
        <v>1538</v>
      </c>
      <c r="C26" t="s">
        <v>104</v>
      </c>
    </row>
    <row r="27" spans="1:3" x14ac:dyDescent="0.3">
      <c r="A27" t="s">
        <v>105</v>
      </c>
      <c r="B27" s="2">
        <v>0</v>
      </c>
      <c r="C27" t="s">
        <v>104</v>
      </c>
    </row>
    <row r="28" spans="1:3" x14ac:dyDescent="0.3">
      <c r="A28" t="s">
        <v>106</v>
      </c>
      <c r="B28" s="2">
        <v>892</v>
      </c>
      <c r="C28" t="s">
        <v>104</v>
      </c>
    </row>
    <row r="31" spans="1:3" x14ac:dyDescent="0.3">
      <c r="A31" t="s">
        <v>129</v>
      </c>
      <c r="B31" s="2" t="s">
        <v>6</v>
      </c>
      <c r="C31" t="s">
        <v>42</v>
      </c>
    </row>
    <row r="32" spans="1:3" x14ac:dyDescent="0.3">
      <c r="A32" t="s">
        <v>130</v>
      </c>
      <c r="B32" s="2">
        <v>0</v>
      </c>
      <c r="C32" s="10" t="s">
        <v>131</v>
      </c>
    </row>
    <row r="33" spans="1:3" x14ac:dyDescent="0.3">
      <c r="A33" t="s">
        <v>132</v>
      </c>
      <c r="B33" s="2">
        <v>0</v>
      </c>
      <c r="C33" s="10" t="s">
        <v>131</v>
      </c>
    </row>
    <row r="34" spans="1:3" x14ac:dyDescent="0.3">
      <c r="A34" t="s">
        <v>133</v>
      </c>
      <c r="B34" s="2">
        <v>445</v>
      </c>
      <c r="C34" s="10" t="s">
        <v>134</v>
      </c>
    </row>
    <row r="35" spans="1:3" x14ac:dyDescent="0.3">
      <c r="A35" t="s">
        <v>135</v>
      </c>
      <c r="B35" s="2">
        <v>445</v>
      </c>
      <c r="C35" s="10" t="s">
        <v>134</v>
      </c>
    </row>
    <row r="38" spans="1:3" x14ac:dyDescent="0.3">
      <c r="A38" t="s">
        <v>149</v>
      </c>
      <c r="B38" s="39" t="s">
        <v>6</v>
      </c>
      <c r="C38" s="11" t="s">
        <v>42</v>
      </c>
    </row>
    <row r="39" spans="1:3" x14ac:dyDescent="0.3">
      <c r="A39" s="5" t="s">
        <v>162</v>
      </c>
      <c r="B39" s="22">
        <v>0</v>
      </c>
      <c r="C39" s="14" t="s">
        <v>131</v>
      </c>
    </row>
    <row r="40" spans="1:3" x14ac:dyDescent="0.3">
      <c r="A40" s="5" t="s">
        <v>132</v>
      </c>
      <c r="B40" s="22">
        <v>0</v>
      </c>
      <c r="C40" s="14" t="s">
        <v>131</v>
      </c>
    </row>
    <row r="41" spans="1:3" x14ac:dyDescent="0.3">
      <c r="A41" s="5" t="s">
        <v>161</v>
      </c>
      <c r="B41" s="22">
        <v>0</v>
      </c>
      <c r="C41" s="14" t="s">
        <v>134</v>
      </c>
    </row>
    <row r="42" spans="1:3" x14ac:dyDescent="0.3">
      <c r="A42" s="5" t="s">
        <v>135</v>
      </c>
      <c r="B42" s="22">
        <v>445</v>
      </c>
      <c r="C42" s="15" t="s">
        <v>134</v>
      </c>
    </row>
    <row r="45" spans="1:3" x14ac:dyDescent="0.3">
      <c r="A45" s="16" t="s">
        <v>157</v>
      </c>
      <c r="B45" s="40" t="s">
        <v>6</v>
      </c>
      <c r="C45" s="18" t="s">
        <v>42</v>
      </c>
    </row>
    <row r="46" spans="1:3" x14ac:dyDescent="0.3">
      <c r="A46" t="s">
        <v>158</v>
      </c>
      <c r="B46" s="2">
        <v>0</v>
      </c>
      <c r="C46" t="s">
        <v>159</v>
      </c>
    </row>
    <row r="47" spans="1:3" x14ac:dyDescent="0.3">
      <c r="A47" t="s">
        <v>160</v>
      </c>
      <c r="B47" s="2">
        <v>343</v>
      </c>
      <c r="C47" t="s">
        <v>159</v>
      </c>
    </row>
    <row r="48" spans="1:3" x14ac:dyDescent="0.3">
      <c r="A48" t="s">
        <v>163</v>
      </c>
      <c r="B48" s="2" t="s">
        <v>164</v>
      </c>
      <c r="C48" t="s">
        <v>159</v>
      </c>
    </row>
    <row r="51" spans="1:3" x14ac:dyDescent="0.3">
      <c r="A51" t="s">
        <v>198</v>
      </c>
      <c r="B51" s="2" t="s">
        <v>6</v>
      </c>
      <c r="C51" t="s">
        <v>42</v>
      </c>
    </row>
    <row r="52" spans="1:3" x14ac:dyDescent="0.3">
      <c r="A52" t="s">
        <v>199</v>
      </c>
      <c r="B52" s="2">
        <v>0</v>
      </c>
      <c r="C52" t="s">
        <v>200</v>
      </c>
    </row>
    <row r="53" spans="1:3" x14ac:dyDescent="0.3">
      <c r="A53" t="s">
        <v>201</v>
      </c>
      <c r="B53" s="2">
        <v>1049</v>
      </c>
      <c r="C53" t="s">
        <v>202</v>
      </c>
    </row>
    <row r="54" spans="1:3" x14ac:dyDescent="0.3">
      <c r="A54" t="s">
        <v>203</v>
      </c>
      <c r="B54" s="2">
        <v>1049</v>
      </c>
      <c r="C54" t="s">
        <v>202</v>
      </c>
    </row>
    <row r="55" spans="1:3" x14ac:dyDescent="0.3">
      <c r="A55" t="s">
        <v>204</v>
      </c>
      <c r="B55" s="2">
        <v>629</v>
      </c>
      <c r="C55" t="s">
        <v>202</v>
      </c>
    </row>
    <row r="58" spans="1:3" x14ac:dyDescent="0.3">
      <c r="A58" s="3" t="s">
        <v>216</v>
      </c>
      <c r="B58" s="39" t="s">
        <v>6</v>
      </c>
      <c r="C58" s="4" t="s">
        <v>42</v>
      </c>
    </row>
    <row r="59" spans="1:3" x14ac:dyDescent="0.3">
      <c r="A59" s="5" t="s">
        <v>217</v>
      </c>
      <c r="B59" s="22">
        <v>0</v>
      </c>
      <c r="C59" s="13" t="s">
        <v>202</v>
      </c>
    </row>
    <row r="60" spans="1:3" x14ac:dyDescent="0.3">
      <c r="A60" s="5" t="s">
        <v>203</v>
      </c>
      <c r="B60" s="22">
        <v>350</v>
      </c>
      <c r="C60" s="13" t="s">
        <v>202</v>
      </c>
    </row>
    <row r="61" spans="1:3" x14ac:dyDescent="0.3">
      <c r="A61" s="7" t="s">
        <v>204</v>
      </c>
      <c r="B61" s="23">
        <v>629</v>
      </c>
      <c r="C61" s="10" t="s">
        <v>202</v>
      </c>
    </row>
    <row r="64" spans="1:3" x14ac:dyDescent="0.3">
      <c r="A64" t="s">
        <v>224</v>
      </c>
      <c r="B64" s="2" t="s">
        <v>225</v>
      </c>
      <c r="C64" t="s">
        <v>42</v>
      </c>
    </row>
    <row r="65" spans="1:3" x14ac:dyDescent="0.3">
      <c r="A65" t="s">
        <v>227</v>
      </c>
      <c r="B65" s="2">
        <v>0</v>
      </c>
      <c r="C65" t="s">
        <v>226</v>
      </c>
    </row>
    <row r="66" spans="1:3" x14ac:dyDescent="0.3">
      <c r="A66" t="s">
        <v>228</v>
      </c>
      <c r="B66" s="2">
        <v>0</v>
      </c>
      <c r="C66" t="s">
        <v>226</v>
      </c>
    </row>
    <row r="69" spans="1:3" x14ac:dyDescent="0.3">
      <c r="A69" t="s">
        <v>245</v>
      </c>
      <c r="B69" s="2" t="s">
        <v>225</v>
      </c>
      <c r="C69" t="s">
        <v>42</v>
      </c>
    </row>
    <row r="70" spans="1:3" x14ac:dyDescent="0.3">
      <c r="A70" s="5" t="s">
        <v>130</v>
      </c>
      <c r="B70" s="22">
        <v>0</v>
      </c>
      <c r="C70" s="13" t="s">
        <v>247</v>
      </c>
    </row>
    <row r="71" spans="1:3" x14ac:dyDescent="0.3">
      <c r="A71" t="s">
        <v>248</v>
      </c>
      <c r="B71" s="2" t="s">
        <v>246</v>
      </c>
      <c r="C71" s="13" t="s">
        <v>247</v>
      </c>
    </row>
    <row r="72" spans="1:3" x14ac:dyDescent="0.3">
      <c r="A72" t="s">
        <v>249</v>
      </c>
      <c r="B72" s="2" t="s">
        <v>164</v>
      </c>
      <c r="C72" s="13" t="s">
        <v>247</v>
      </c>
    </row>
    <row r="73" spans="1:3" x14ac:dyDescent="0.3">
      <c r="A73" t="s">
        <v>250</v>
      </c>
      <c r="B73" s="2">
        <v>445</v>
      </c>
      <c r="C73" s="13" t="s">
        <v>247</v>
      </c>
    </row>
    <row r="76" spans="1:3" x14ac:dyDescent="0.3">
      <c r="A76" t="s">
        <v>266</v>
      </c>
      <c r="B76" s="2" t="s">
        <v>225</v>
      </c>
      <c r="C76" t="s">
        <v>42</v>
      </c>
    </row>
    <row r="77" spans="1:3" x14ac:dyDescent="0.3">
      <c r="A77" s="5" t="s">
        <v>130</v>
      </c>
      <c r="B77" s="22">
        <v>0</v>
      </c>
      <c r="C77" s="13" t="s">
        <v>247</v>
      </c>
    </row>
    <row r="78" spans="1:3" x14ac:dyDescent="0.3">
      <c r="A78" t="s">
        <v>248</v>
      </c>
      <c r="B78" s="2" t="s">
        <v>246</v>
      </c>
      <c r="C78" s="13" t="s">
        <v>247</v>
      </c>
    </row>
    <row r="79" spans="1:3" x14ac:dyDescent="0.3">
      <c r="A79" t="s">
        <v>249</v>
      </c>
      <c r="B79" s="2" t="s">
        <v>164</v>
      </c>
      <c r="C79" s="13" t="s">
        <v>247</v>
      </c>
    </row>
    <row r="80" spans="1:3" x14ac:dyDescent="0.3">
      <c r="A80" t="s">
        <v>250</v>
      </c>
      <c r="B80" s="2">
        <v>445</v>
      </c>
      <c r="C80" s="13" t="s">
        <v>247</v>
      </c>
    </row>
    <row r="83" spans="1:3" x14ac:dyDescent="0.3">
      <c r="A83" t="s">
        <v>271</v>
      </c>
      <c r="B83" s="2" t="s">
        <v>225</v>
      </c>
      <c r="C83" t="s">
        <v>42</v>
      </c>
    </row>
    <row r="84" spans="1:3" x14ac:dyDescent="0.3">
      <c r="A84" t="s">
        <v>272</v>
      </c>
      <c r="B84" s="2">
        <v>0</v>
      </c>
      <c r="C84" s="13" t="s">
        <v>273</v>
      </c>
    </row>
    <row r="85" spans="1:3" x14ac:dyDescent="0.3">
      <c r="A85" t="s">
        <v>274</v>
      </c>
      <c r="B85" s="2">
        <v>627</v>
      </c>
      <c r="C85" s="10" t="s">
        <v>275</v>
      </c>
    </row>
    <row r="88" spans="1:3" x14ac:dyDescent="0.3">
      <c r="A88" t="s">
        <v>278</v>
      </c>
      <c r="B88" s="2" t="s">
        <v>6</v>
      </c>
      <c r="C88" t="s">
        <v>42</v>
      </c>
    </row>
    <row r="89" spans="1:3" x14ac:dyDescent="0.3">
      <c r="A89" t="s">
        <v>279</v>
      </c>
      <c r="B89" s="2">
        <v>0</v>
      </c>
      <c r="C89" s="13" t="s">
        <v>273</v>
      </c>
    </row>
    <row r="90" spans="1:3" x14ac:dyDescent="0.3">
      <c r="A90" t="s">
        <v>280</v>
      </c>
      <c r="B90" s="2">
        <v>0</v>
      </c>
      <c r="C90" s="10" t="s">
        <v>275</v>
      </c>
    </row>
    <row r="91" spans="1:3" x14ac:dyDescent="0.3">
      <c r="A91" t="s">
        <v>281</v>
      </c>
      <c r="B91" s="2">
        <v>343</v>
      </c>
      <c r="C91" s="10" t="s">
        <v>275</v>
      </c>
    </row>
    <row r="94" spans="1:3" x14ac:dyDescent="0.3">
      <c r="A94" t="s">
        <v>307</v>
      </c>
      <c r="B94" s="2" t="s">
        <v>6</v>
      </c>
      <c r="C94" t="s">
        <v>42</v>
      </c>
    </row>
    <row r="95" spans="1:3" x14ac:dyDescent="0.3">
      <c r="A95" s="5" t="s">
        <v>227</v>
      </c>
      <c r="B95" s="22" t="s">
        <v>246</v>
      </c>
      <c r="C95" s="13" t="s">
        <v>226</v>
      </c>
    </row>
    <row r="96" spans="1:3" x14ac:dyDescent="0.3">
      <c r="A96" s="7" t="s">
        <v>228</v>
      </c>
      <c r="B96" s="23">
        <v>0</v>
      </c>
      <c r="C96" s="10" t="s">
        <v>226</v>
      </c>
    </row>
    <row r="97" spans="1:3" x14ac:dyDescent="0.3">
      <c r="A97" s="5" t="s">
        <v>249</v>
      </c>
      <c r="B97" s="22" t="s">
        <v>164</v>
      </c>
      <c r="C97" s="13" t="s">
        <v>247</v>
      </c>
    </row>
    <row r="98" spans="1:3" x14ac:dyDescent="0.3">
      <c r="A98" s="5" t="s">
        <v>250</v>
      </c>
      <c r="B98" s="22">
        <v>445</v>
      </c>
      <c r="C98" s="13" t="s">
        <v>247</v>
      </c>
    </row>
    <row r="101" spans="1:3" x14ac:dyDescent="0.3">
      <c r="A101" t="s">
        <v>308</v>
      </c>
      <c r="B101" s="2" t="s">
        <v>225</v>
      </c>
      <c r="C101" t="s">
        <v>42</v>
      </c>
    </row>
    <row r="102" spans="1:3" x14ac:dyDescent="0.3">
      <c r="A102" s="5" t="s">
        <v>309</v>
      </c>
      <c r="B102" s="22">
        <v>0</v>
      </c>
      <c r="C102" s="10" t="s">
        <v>131</v>
      </c>
    </row>
    <row r="103" spans="1:3" x14ac:dyDescent="0.3">
      <c r="A103" s="5" t="s">
        <v>227</v>
      </c>
      <c r="B103" s="22" t="s">
        <v>246</v>
      </c>
      <c r="C103" s="13" t="s">
        <v>226</v>
      </c>
    </row>
    <row r="104" spans="1:3" x14ac:dyDescent="0.3">
      <c r="A104" s="5" t="s">
        <v>249</v>
      </c>
      <c r="B104" s="22" t="s">
        <v>164</v>
      </c>
      <c r="C104" s="13" t="s">
        <v>247</v>
      </c>
    </row>
    <row r="105" spans="1:3" x14ac:dyDescent="0.3">
      <c r="A105" s="5" t="s">
        <v>250</v>
      </c>
      <c r="B105" s="22">
        <v>445</v>
      </c>
      <c r="C105" s="13" t="s">
        <v>247</v>
      </c>
    </row>
    <row r="108" spans="1:3" x14ac:dyDescent="0.3">
      <c r="A108" t="s">
        <v>310</v>
      </c>
      <c r="B108" s="2" t="s">
        <v>225</v>
      </c>
      <c r="C108" t="s">
        <v>42</v>
      </c>
    </row>
    <row r="109" spans="1:3" x14ac:dyDescent="0.3">
      <c r="A109" s="5" t="s">
        <v>309</v>
      </c>
      <c r="B109" s="22">
        <v>0</v>
      </c>
      <c r="C109" s="10" t="s">
        <v>131</v>
      </c>
    </row>
    <row r="110" spans="1:3" x14ac:dyDescent="0.3">
      <c r="A110" s="5" t="s">
        <v>227</v>
      </c>
      <c r="B110" s="22" t="s">
        <v>246</v>
      </c>
      <c r="C110" s="13" t="s">
        <v>226</v>
      </c>
    </row>
    <row r="111" spans="1:3" x14ac:dyDescent="0.3">
      <c r="A111" s="5" t="s">
        <v>249</v>
      </c>
      <c r="B111" s="22" t="s">
        <v>164</v>
      </c>
      <c r="C111" s="13" t="s">
        <v>247</v>
      </c>
    </row>
    <row r="112" spans="1:3" x14ac:dyDescent="0.3">
      <c r="A112" s="5" t="s">
        <v>250</v>
      </c>
      <c r="B112" s="22">
        <v>445</v>
      </c>
      <c r="C112" s="13" t="s">
        <v>247</v>
      </c>
    </row>
    <row r="115" spans="1:3" x14ac:dyDescent="0.3">
      <c r="A115" t="s">
        <v>311</v>
      </c>
      <c r="B115" s="2" t="s">
        <v>6</v>
      </c>
      <c r="C115" t="s">
        <v>42</v>
      </c>
    </row>
    <row r="116" spans="1:3" x14ac:dyDescent="0.3">
      <c r="A116" s="5" t="s">
        <v>272</v>
      </c>
      <c r="B116" s="22">
        <v>0</v>
      </c>
      <c r="C116" s="13" t="s">
        <v>273</v>
      </c>
    </row>
    <row r="117" spans="1:3" x14ac:dyDescent="0.3">
      <c r="A117" s="5" t="s">
        <v>274</v>
      </c>
      <c r="B117" s="22">
        <v>627</v>
      </c>
      <c r="C117" s="13" t="s">
        <v>275</v>
      </c>
    </row>
    <row r="120" spans="1:3" x14ac:dyDescent="0.3">
      <c r="A120" t="s">
        <v>312</v>
      </c>
      <c r="B120" s="2" t="s">
        <v>6</v>
      </c>
      <c r="C120" t="s">
        <v>42</v>
      </c>
    </row>
    <row r="121" spans="1:3" x14ac:dyDescent="0.3">
      <c r="A121" s="5" t="s">
        <v>279</v>
      </c>
      <c r="B121" s="22">
        <v>0</v>
      </c>
      <c r="C121" s="13" t="s">
        <v>273</v>
      </c>
    </row>
    <row r="122" spans="1:3" x14ac:dyDescent="0.3">
      <c r="A122" s="5" t="s">
        <v>280</v>
      </c>
      <c r="B122" s="22">
        <v>0</v>
      </c>
      <c r="C122" s="10" t="s">
        <v>275</v>
      </c>
    </row>
    <row r="123" spans="1:3" x14ac:dyDescent="0.3">
      <c r="A123" s="5" t="s">
        <v>281</v>
      </c>
      <c r="B123" s="22">
        <v>343</v>
      </c>
      <c r="C123" s="13" t="s">
        <v>275</v>
      </c>
    </row>
    <row r="126" spans="1:3" x14ac:dyDescent="0.3">
      <c r="A126" t="s">
        <v>346</v>
      </c>
      <c r="B126" s="2" t="s">
        <v>225</v>
      </c>
      <c r="C126" t="s">
        <v>347</v>
      </c>
    </row>
    <row r="127" spans="1:3" x14ac:dyDescent="0.3">
      <c r="A127" t="s">
        <v>348</v>
      </c>
      <c r="B127" s="2">
        <v>0</v>
      </c>
      <c r="C127" t="s">
        <v>349</v>
      </c>
    </row>
    <row r="128" spans="1:3" x14ac:dyDescent="0.3">
      <c r="A128" t="s">
        <v>350</v>
      </c>
      <c r="B128" s="2">
        <v>874</v>
      </c>
      <c r="C128" t="s">
        <v>349</v>
      </c>
    </row>
    <row r="131" spans="1:3" x14ac:dyDescent="0.3">
      <c r="A131" t="s">
        <v>405</v>
      </c>
      <c r="B131" s="2" t="s">
        <v>6</v>
      </c>
      <c r="C131" t="s">
        <v>347</v>
      </c>
    </row>
    <row r="132" spans="1:3" x14ac:dyDescent="0.3">
      <c r="A132" t="s">
        <v>406</v>
      </c>
      <c r="B132" s="2">
        <v>0</v>
      </c>
      <c r="C132" t="s">
        <v>407</v>
      </c>
    </row>
    <row r="133" spans="1:3" x14ac:dyDescent="0.3">
      <c r="A133" t="s">
        <v>408</v>
      </c>
      <c r="B133" s="2">
        <v>857</v>
      </c>
      <c r="C133" t="s">
        <v>412</v>
      </c>
    </row>
    <row r="134" spans="1:3" x14ac:dyDescent="0.3">
      <c r="A134" t="s">
        <v>409</v>
      </c>
      <c r="B134" s="2">
        <v>1364</v>
      </c>
      <c r="C134" t="s">
        <v>412</v>
      </c>
    </row>
    <row r="135" spans="1:3" x14ac:dyDescent="0.3">
      <c r="A135" t="s">
        <v>410</v>
      </c>
      <c r="B135" s="2" t="s">
        <v>411</v>
      </c>
      <c r="C135" t="s">
        <v>413</v>
      </c>
    </row>
    <row r="136" spans="1:3" x14ac:dyDescent="0.3">
      <c r="A136" t="s">
        <v>414</v>
      </c>
      <c r="B136" s="2" t="s">
        <v>388</v>
      </c>
      <c r="C136" t="s">
        <v>415</v>
      </c>
    </row>
    <row r="139" spans="1:3" x14ac:dyDescent="0.3">
      <c r="A139" t="s">
        <v>416</v>
      </c>
      <c r="B139" s="2" t="s">
        <v>6</v>
      </c>
      <c r="C139" t="s">
        <v>347</v>
      </c>
    </row>
    <row r="140" spans="1:3" x14ac:dyDescent="0.3">
      <c r="A140" s="5" t="s">
        <v>417</v>
      </c>
      <c r="B140" s="22">
        <v>0</v>
      </c>
      <c r="C140" s="13" t="s">
        <v>412</v>
      </c>
    </row>
    <row r="141" spans="1:3" x14ac:dyDescent="0.3">
      <c r="A141" s="5" t="s">
        <v>409</v>
      </c>
      <c r="B141" s="22">
        <v>524</v>
      </c>
      <c r="C141" s="13" t="s">
        <v>412</v>
      </c>
    </row>
    <row r="142" spans="1:3" x14ac:dyDescent="0.3">
      <c r="A142" s="21" t="s">
        <v>418</v>
      </c>
      <c r="B142" s="2" t="s">
        <v>388</v>
      </c>
      <c r="C142" s="10" t="s">
        <v>415</v>
      </c>
    </row>
    <row r="143" spans="1:3" x14ac:dyDescent="0.3">
      <c r="A143" s="5" t="s">
        <v>410</v>
      </c>
      <c r="B143" s="22" t="s">
        <v>411</v>
      </c>
      <c r="C143" s="13" t="s">
        <v>413</v>
      </c>
    </row>
    <row r="144" spans="1:3" x14ac:dyDescent="0.3">
      <c r="A144" s="7" t="s">
        <v>414</v>
      </c>
      <c r="B144" s="23" t="s">
        <v>388</v>
      </c>
      <c r="C144" s="10" t="s">
        <v>415</v>
      </c>
    </row>
    <row r="145" spans="1:3" x14ac:dyDescent="0.3">
      <c r="A145" s="21" t="s">
        <v>419</v>
      </c>
      <c r="B145" s="29" t="s">
        <v>388</v>
      </c>
      <c r="C145" s="10" t="s">
        <v>415</v>
      </c>
    </row>
    <row r="148" spans="1:3" x14ac:dyDescent="0.3">
      <c r="A148" t="s">
        <v>420</v>
      </c>
      <c r="B148" s="2" t="s">
        <v>6</v>
      </c>
      <c r="C148" t="s">
        <v>347</v>
      </c>
    </row>
    <row r="149" spans="1:3" x14ac:dyDescent="0.3">
      <c r="A149" t="s">
        <v>421</v>
      </c>
      <c r="B149" s="2">
        <v>3322</v>
      </c>
      <c r="C149" s="13" t="s">
        <v>413</v>
      </c>
    </row>
    <row r="150" spans="1:3" x14ac:dyDescent="0.3">
      <c r="A150" t="s">
        <v>422</v>
      </c>
      <c r="B150" s="2">
        <v>4178</v>
      </c>
      <c r="C150" s="13" t="s">
        <v>413</v>
      </c>
    </row>
    <row r="151" spans="1:3" x14ac:dyDescent="0.3">
      <c r="A151" t="s">
        <v>423</v>
      </c>
      <c r="B151" s="2">
        <v>0</v>
      </c>
      <c r="C151" s="13" t="s">
        <v>424</v>
      </c>
    </row>
    <row r="154" spans="1:3" x14ac:dyDescent="0.3">
      <c r="A154" t="s">
        <v>425</v>
      </c>
      <c r="B154" s="2" t="s">
        <v>6</v>
      </c>
      <c r="C154" t="s">
        <v>347</v>
      </c>
    </row>
    <row r="155" spans="1:3" x14ac:dyDescent="0.3">
      <c r="A155" s="5" t="s">
        <v>421</v>
      </c>
      <c r="B155" s="22">
        <v>3322</v>
      </c>
      <c r="C155" s="13" t="s">
        <v>413</v>
      </c>
    </row>
    <row r="156" spans="1:3" x14ac:dyDescent="0.3">
      <c r="A156" s="5" t="s">
        <v>422</v>
      </c>
      <c r="B156" s="22">
        <v>4178</v>
      </c>
      <c r="C156" s="13" t="s">
        <v>413</v>
      </c>
    </row>
    <row r="157" spans="1:3" x14ac:dyDescent="0.3">
      <c r="A157" s="21" t="s">
        <v>426</v>
      </c>
      <c r="B157" s="2">
        <v>0</v>
      </c>
      <c r="C157" s="13" t="s">
        <v>413</v>
      </c>
    </row>
    <row r="160" spans="1:3" x14ac:dyDescent="0.3">
      <c r="A160" t="s">
        <v>516</v>
      </c>
      <c r="B160" s="2" t="s">
        <v>225</v>
      </c>
      <c r="C160" t="s">
        <v>42</v>
      </c>
    </row>
    <row r="161" spans="1:3" x14ac:dyDescent="0.3">
      <c r="A161" s="5" t="s">
        <v>409</v>
      </c>
      <c r="B161" s="22">
        <v>1049</v>
      </c>
      <c r="C161" s="13" t="s">
        <v>517</v>
      </c>
    </row>
    <row r="162" spans="1:3" x14ac:dyDescent="0.3">
      <c r="A162" t="s">
        <v>518</v>
      </c>
      <c r="B162" s="2">
        <v>1049</v>
      </c>
      <c r="C162" s="13" t="s">
        <v>517</v>
      </c>
    </row>
    <row r="163" spans="1:3" x14ac:dyDescent="0.3">
      <c r="A163" t="s">
        <v>519</v>
      </c>
      <c r="B163" s="2">
        <v>1923</v>
      </c>
      <c r="C163" s="21" t="s">
        <v>520</v>
      </c>
    </row>
    <row r="164" spans="1:3" x14ac:dyDescent="0.3">
      <c r="A164" s="5" t="s">
        <v>521</v>
      </c>
      <c r="B164" s="22">
        <v>1049</v>
      </c>
      <c r="C164" s="13" t="s">
        <v>517</v>
      </c>
    </row>
    <row r="165" spans="1:3" x14ac:dyDescent="0.3">
      <c r="A165" s="5" t="s">
        <v>406</v>
      </c>
      <c r="B165" s="22">
        <v>0</v>
      </c>
      <c r="C165" s="13" t="s">
        <v>522</v>
      </c>
    </row>
    <row r="166" spans="1:3" x14ac:dyDescent="0.3">
      <c r="A166" s="21" t="s">
        <v>523</v>
      </c>
      <c r="B166" s="29">
        <v>2098</v>
      </c>
      <c r="C166" s="21" t="s">
        <v>524</v>
      </c>
    </row>
    <row r="167" spans="1:3" x14ac:dyDescent="0.3">
      <c r="A167" t="s">
        <v>525</v>
      </c>
      <c r="B167" s="2" t="s">
        <v>526</v>
      </c>
      <c r="C167" s="13" t="s">
        <v>527</v>
      </c>
    </row>
    <row r="170" spans="1:3" x14ac:dyDescent="0.3">
      <c r="A170" t="s">
        <v>528</v>
      </c>
      <c r="B170" s="2" t="s">
        <v>225</v>
      </c>
      <c r="C170" t="s">
        <v>42</v>
      </c>
    </row>
    <row r="171" spans="1:3" x14ac:dyDescent="0.3">
      <c r="A171" s="5" t="s">
        <v>409</v>
      </c>
      <c r="B171" s="22">
        <v>1049</v>
      </c>
      <c r="C171" s="13" t="s">
        <v>517</v>
      </c>
    </row>
    <row r="172" spans="1:3" x14ac:dyDescent="0.3">
      <c r="A172" t="s">
        <v>518</v>
      </c>
      <c r="B172" s="2">
        <v>1049</v>
      </c>
      <c r="C172" s="13" t="s">
        <v>517</v>
      </c>
    </row>
    <row r="173" spans="1:3" x14ac:dyDescent="0.3">
      <c r="A173" t="s">
        <v>519</v>
      </c>
      <c r="B173" s="2">
        <v>1923</v>
      </c>
      <c r="C173" s="21" t="s">
        <v>520</v>
      </c>
    </row>
    <row r="174" spans="1:3" x14ac:dyDescent="0.3">
      <c r="A174" s="5" t="s">
        <v>521</v>
      </c>
      <c r="B174" s="22">
        <v>1049</v>
      </c>
      <c r="C174" s="13" t="s">
        <v>517</v>
      </c>
    </row>
    <row r="175" spans="1:3" x14ac:dyDescent="0.3">
      <c r="A175" s="5" t="s">
        <v>406</v>
      </c>
      <c r="B175" s="22">
        <v>0</v>
      </c>
      <c r="C175" s="13" t="s">
        <v>522</v>
      </c>
    </row>
    <row r="176" spans="1:3" x14ac:dyDescent="0.3">
      <c r="A176" s="21" t="s">
        <v>523</v>
      </c>
      <c r="B176" s="29">
        <v>2098</v>
      </c>
      <c r="C176" s="21" t="s">
        <v>524</v>
      </c>
    </row>
    <row r="177" spans="1:3" x14ac:dyDescent="0.3">
      <c r="A177" t="s">
        <v>525</v>
      </c>
      <c r="B177" s="2" t="s">
        <v>526</v>
      </c>
      <c r="C177" s="13" t="s">
        <v>527</v>
      </c>
    </row>
    <row r="180" spans="1:3" x14ac:dyDescent="0.3">
      <c r="A180" t="s">
        <v>529</v>
      </c>
      <c r="B180" s="2" t="s">
        <v>225</v>
      </c>
      <c r="C180" t="s">
        <v>42</v>
      </c>
    </row>
    <row r="181" spans="1:3" x14ac:dyDescent="0.3">
      <c r="A181" s="5" t="s">
        <v>409</v>
      </c>
      <c r="B181" s="22">
        <v>1049</v>
      </c>
      <c r="C181" s="13" t="s">
        <v>517</v>
      </c>
    </row>
    <row r="182" spans="1:3" x14ac:dyDescent="0.3">
      <c r="A182" t="s">
        <v>518</v>
      </c>
      <c r="B182" s="2">
        <v>1049</v>
      </c>
      <c r="C182" s="13" t="s">
        <v>517</v>
      </c>
    </row>
    <row r="183" spans="1:3" x14ac:dyDescent="0.3">
      <c r="A183" t="s">
        <v>519</v>
      </c>
      <c r="B183" s="2">
        <v>1923</v>
      </c>
      <c r="C183" s="21" t="s">
        <v>520</v>
      </c>
    </row>
    <row r="184" spans="1:3" x14ac:dyDescent="0.3">
      <c r="A184" s="5" t="s">
        <v>521</v>
      </c>
      <c r="B184" s="22">
        <v>1049</v>
      </c>
      <c r="C184" s="13" t="s">
        <v>517</v>
      </c>
    </row>
    <row r="185" spans="1:3" x14ac:dyDescent="0.3">
      <c r="A185" s="5" t="s">
        <v>406</v>
      </c>
      <c r="B185" s="22">
        <v>0</v>
      </c>
      <c r="C185" s="13" t="s">
        <v>522</v>
      </c>
    </row>
    <row r="186" spans="1:3" x14ac:dyDescent="0.3">
      <c r="A186" s="21" t="s">
        <v>523</v>
      </c>
      <c r="B186" s="29">
        <v>2098</v>
      </c>
      <c r="C186" s="21" t="s">
        <v>524</v>
      </c>
    </row>
    <row r="187" spans="1:3" x14ac:dyDescent="0.3">
      <c r="A187" t="s">
        <v>525</v>
      </c>
      <c r="B187" s="2" t="s">
        <v>526</v>
      </c>
      <c r="C187" s="13" t="s">
        <v>527</v>
      </c>
    </row>
    <row r="190" spans="1:3" x14ac:dyDescent="0.3">
      <c r="A190" t="s">
        <v>530</v>
      </c>
      <c r="B190" s="2" t="s">
        <v>225</v>
      </c>
      <c r="C190" t="s">
        <v>42</v>
      </c>
    </row>
    <row r="191" spans="1:3" x14ac:dyDescent="0.3">
      <c r="A191" s="5" t="s">
        <v>409</v>
      </c>
      <c r="B191" s="22">
        <v>0</v>
      </c>
      <c r="C191" s="13" t="s">
        <v>517</v>
      </c>
    </row>
    <row r="192" spans="1:3" x14ac:dyDescent="0.3">
      <c r="A192" t="s">
        <v>518</v>
      </c>
      <c r="B192" s="2">
        <v>0</v>
      </c>
      <c r="C192" s="13" t="s">
        <v>517</v>
      </c>
    </row>
    <row r="193" spans="1:3" x14ac:dyDescent="0.3">
      <c r="A193" t="s">
        <v>519</v>
      </c>
      <c r="B193" s="2">
        <v>874</v>
      </c>
      <c r="C193" s="21" t="s">
        <v>520</v>
      </c>
    </row>
    <row r="194" spans="1:3" x14ac:dyDescent="0.3">
      <c r="A194" t="s">
        <v>532</v>
      </c>
      <c r="B194" s="2">
        <v>874</v>
      </c>
      <c r="C194" s="21" t="s">
        <v>533</v>
      </c>
    </row>
    <row r="195" spans="1:3" x14ac:dyDescent="0.3">
      <c r="A195" s="5" t="s">
        <v>417</v>
      </c>
      <c r="B195" s="22">
        <v>0</v>
      </c>
      <c r="C195" s="13" t="s">
        <v>517</v>
      </c>
    </row>
    <row r="196" spans="1:3" x14ac:dyDescent="0.3">
      <c r="A196" s="5" t="s">
        <v>531</v>
      </c>
      <c r="B196" s="22">
        <v>0</v>
      </c>
      <c r="C196" s="13" t="s">
        <v>522</v>
      </c>
    </row>
    <row r="197" spans="1:3" x14ac:dyDescent="0.3">
      <c r="A197" s="21" t="s">
        <v>523</v>
      </c>
      <c r="B197" s="29">
        <v>1224</v>
      </c>
      <c r="C197" s="21" t="s">
        <v>524</v>
      </c>
    </row>
    <row r="198" spans="1:3" x14ac:dyDescent="0.3">
      <c r="A198" t="s">
        <v>525</v>
      </c>
      <c r="B198" s="2" t="s">
        <v>526</v>
      </c>
      <c r="C198" s="13" t="s">
        <v>527</v>
      </c>
    </row>
    <row r="201" spans="1:3" x14ac:dyDescent="0.3">
      <c r="A201" t="s">
        <v>534</v>
      </c>
      <c r="B201" s="2" t="s">
        <v>225</v>
      </c>
      <c r="C201" t="s">
        <v>42</v>
      </c>
    </row>
    <row r="202" spans="1:3" x14ac:dyDescent="0.3">
      <c r="A202" s="5" t="s">
        <v>409</v>
      </c>
      <c r="B202" s="22">
        <v>0</v>
      </c>
      <c r="C202" s="13" t="s">
        <v>517</v>
      </c>
    </row>
    <row r="203" spans="1:3" x14ac:dyDescent="0.3">
      <c r="A203" t="s">
        <v>518</v>
      </c>
      <c r="B203" s="2">
        <v>0</v>
      </c>
      <c r="C203" s="13" t="s">
        <v>517</v>
      </c>
    </row>
    <row r="204" spans="1:3" x14ac:dyDescent="0.3">
      <c r="A204" t="s">
        <v>519</v>
      </c>
      <c r="B204" s="2">
        <v>0</v>
      </c>
      <c r="C204" s="21" t="s">
        <v>520</v>
      </c>
    </row>
    <row r="205" spans="1:3" x14ac:dyDescent="0.3">
      <c r="A205" t="s">
        <v>535</v>
      </c>
      <c r="B205" s="2">
        <v>0</v>
      </c>
      <c r="C205" s="21" t="s">
        <v>533</v>
      </c>
    </row>
    <row r="206" spans="1:3" x14ac:dyDescent="0.3">
      <c r="A206" s="5" t="s">
        <v>521</v>
      </c>
      <c r="B206" s="22">
        <v>0</v>
      </c>
      <c r="C206" s="13" t="s">
        <v>517</v>
      </c>
    </row>
    <row r="207" spans="1:3" x14ac:dyDescent="0.3">
      <c r="A207" s="5" t="s">
        <v>531</v>
      </c>
      <c r="B207" s="22">
        <v>0</v>
      </c>
      <c r="C207" s="13" t="s">
        <v>522</v>
      </c>
    </row>
    <row r="208" spans="1:3" x14ac:dyDescent="0.3">
      <c r="A208" s="21" t="s">
        <v>523</v>
      </c>
      <c r="B208" s="29">
        <v>804</v>
      </c>
      <c r="C208" s="21" t="s">
        <v>524</v>
      </c>
    </row>
    <row r="209" spans="1:3" x14ac:dyDescent="0.3">
      <c r="A209" t="s">
        <v>525</v>
      </c>
      <c r="B209" s="2">
        <v>0</v>
      </c>
      <c r="C209" s="13" t="s">
        <v>527</v>
      </c>
    </row>
    <row r="212" spans="1:3" x14ac:dyDescent="0.3">
      <c r="A212" t="s">
        <v>536</v>
      </c>
      <c r="B212" s="2" t="s">
        <v>225</v>
      </c>
      <c r="C212" t="s">
        <v>42</v>
      </c>
    </row>
    <row r="213" spans="1:3" x14ac:dyDescent="0.3">
      <c r="A213" s="5" t="s">
        <v>409</v>
      </c>
      <c r="B213" s="22">
        <v>0</v>
      </c>
      <c r="C213" s="13" t="s">
        <v>517</v>
      </c>
    </row>
    <row r="214" spans="1:3" x14ac:dyDescent="0.3">
      <c r="A214" t="s">
        <v>518</v>
      </c>
      <c r="B214" s="2">
        <v>0</v>
      </c>
      <c r="C214" s="13" t="s">
        <v>517</v>
      </c>
    </row>
    <row r="215" spans="1:3" x14ac:dyDescent="0.3">
      <c r="A215" t="s">
        <v>519</v>
      </c>
      <c r="B215" s="2">
        <v>0</v>
      </c>
      <c r="C215" s="21" t="s">
        <v>520</v>
      </c>
    </row>
    <row r="216" spans="1:3" x14ac:dyDescent="0.3">
      <c r="A216" t="s">
        <v>535</v>
      </c>
      <c r="B216" s="2">
        <v>0</v>
      </c>
      <c r="C216" s="21" t="s">
        <v>533</v>
      </c>
    </row>
    <row r="217" spans="1:3" x14ac:dyDescent="0.3">
      <c r="A217" s="5" t="s">
        <v>521</v>
      </c>
      <c r="B217" s="22">
        <v>0</v>
      </c>
      <c r="C217" s="13" t="s">
        <v>517</v>
      </c>
    </row>
    <row r="218" spans="1:3" x14ac:dyDescent="0.3">
      <c r="A218" s="5" t="s">
        <v>531</v>
      </c>
      <c r="B218" s="22">
        <v>0</v>
      </c>
      <c r="C218" s="13" t="s">
        <v>522</v>
      </c>
    </row>
    <row r="219" spans="1:3" x14ac:dyDescent="0.3">
      <c r="A219" s="21" t="s">
        <v>523</v>
      </c>
      <c r="B219" s="29">
        <v>804</v>
      </c>
      <c r="C219" s="21" t="s">
        <v>524</v>
      </c>
    </row>
    <row r="220" spans="1:3" x14ac:dyDescent="0.3">
      <c r="A220" t="s">
        <v>525</v>
      </c>
      <c r="B220" s="2">
        <v>0</v>
      </c>
      <c r="C220" s="13" t="s">
        <v>527</v>
      </c>
    </row>
    <row r="223" spans="1:3" x14ac:dyDescent="0.3">
      <c r="A223" t="s">
        <v>537</v>
      </c>
      <c r="B223" s="2" t="s">
        <v>6</v>
      </c>
      <c r="C223" t="s">
        <v>42</v>
      </c>
    </row>
    <row r="224" spans="1:3" x14ac:dyDescent="0.3">
      <c r="A224" t="s">
        <v>538</v>
      </c>
      <c r="B224" s="2">
        <v>1049</v>
      </c>
      <c r="C224" t="s">
        <v>539</v>
      </c>
    </row>
    <row r="225" spans="1:3" x14ac:dyDescent="0.3">
      <c r="A225" t="s">
        <v>540</v>
      </c>
      <c r="B225" s="2">
        <v>1049</v>
      </c>
      <c r="C225" t="s">
        <v>539</v>
      </c>
    </row>
    <row r="226" spans="1:3" x14ac:dyDescent="0.3">
      <c r="A226" t="s">
        <v>541</v>
      </c>
      <c r="B226" s="2">
        <v>0</v>
      </c>
      <c r="C226" t="s">
        <v>539</v>
      </c>
    </row>
    <row r="229" spans="1:3" x14ac:dyDescent="0.3">
      <c r="A229" t="s">
        <v>542</v>
      </c>
      <c r="B229" s="2" t="s">
        <v>6</v>
      </c>
      <c r="C229" t="s">
        <v>42</v>
      </c>
    </row>
    <row r="230" spans="1:3" x14ac:dyDescent="0.3">
      <c r="A230" t="s">
        <v>538</v>
      </c>
      <c r="B230" s="2">
        <v>1049</v>
      </c>
      <c r="C230" t="s">
        <v>539</v>
      </c>
    </row>
    <row r="231" spans="1:3" x14ac:dyDescent="0.3">
      <c r="A231" t="s">
        <v>540</v>
      </c>
      <c r="B231" s="2">
        <v>1049</v>
      </c>
      <c r="C231" t="s">
        <v>539</v>
      </c>
    </row>
    <row r="232" spans="1:3" x14ac:dyDescent="0.3">
      <c r="A232" t="s">
        <v>541</v>
      </c>
      <c r="B232" s="2">
        <v>0</v>
      </c>
      <c r="C232" t="s">
        <v>539</v>
      </c>
    </row>
    <row r="235" spans="1:3" x14ac:dyDescent="0.3">
      <c r="A235" t="s">
        <v>543</v>
      </c>
      <c r="B235" s="2" t="s">
        <v>225</v>
      </c>
      <c r="C235" t="s">
        <v>42</v>
      </c>
    </row>
    <row r="236" spans="1:3" x14ac:dyDescent="0.3">
      <c r="A236" t="s">
        <v>544</v>
      </c>
      <c r="B236" s="2">
        <v>0</v>
      </c>
      <c r="C236" s="13" t="s">
        <v>517</v>
      </c>
    </row>
    <row r="237" spans="1:3" x14ac:dyDescent="0.3">
      <c r="A237" s="5" t="s">
        <v>409</v>
      </c>
      <c r="B237" s="22">
        <v>0</v>
      </c>
      <c r="C237" s="13" t="s">
        <v>517</v>
      </c>
    </row>
    <row r="238" spans="1:3" x14ac:dyDescent="0.3">
      <c r="A238" t="s">
        <v>518</v>
      </c>
      <c r="B238" s="2">
        <v>0</v>
      </c>
      <c r="C238" s="13" t="s">
        <v>517</v>
      </c>
    </row>
    <row r="239" spans="1:3" x14ac:dyDescent="0.3">
      <c r="A239" t="s">
        <v>519</v>
      </c>
      <c r="B239" s="2">
        <v>874</v>
      </c>
      <c r="C239" s="21" t="s">
        <v>520</v>
      </c>
    </row>
    <row r="240" spans="1:3" x14ac:dyDescent="0.3">
      <c r="A240" t="s">
        <v>545</v>
      </c>
      <c r="B240" s="2">
        <v>874</v>
      </c>
      <c r="C240" s="21" t="s">
        <v>533</v>
      </c>
    </row>
    <row r="241" spans="1:3" x14ac:dyDescent="0.3">
      <c r="A241" s="5" t="s">
        <v>521</v>
      </c>
      <c r="B241" s="22">
        <v>0</v>
      </c>
      <c r="C241" s="13" t="s">
        <v>517</v>
      </c>
    </row>
    <row r="242" spans="1:3" x14ac:dyDescent="0.3">
      <c r="A242" s="21" t="s">
        <v>523</v>
      </c>
      <c r="B242" s="29">
        <v>1224</v>
      </c>
      <c r="C242" s="21" t="s">
        <v>524</v>
      </c>
    </row>
    <row r="243" spans="1:3" x14ac:dyDescent="0.3">
      <c r="A243" t="s">
        <v>525</v>
      </c>
      <c r="B243" s="2" t="s">
        <v>388</v>
      </c>
      <c r="C243" s="13" t="s">
        <v>527</v>
      </c>
    </row>
    <row r="246" spans="1:3" x14ac:dyDescent="0.3">
      <c r="A246" t="s">
        <v>546</v>
      </c>
      <c r="B246" s="2" t="s">
        <v>6</v>
      </c>
      <c r="C246" t="s">
        <v>42</v>
      </c>
    </row>
    <row r="247" spans="1:3" x14ac:dyDescent="0.3">
      <c r="A247" t="s">
        <v>538</v>
      </c>
      <c r="B247" s="2">
        <v>0</v>
      </c>
      <c r="C247" t="s">
        <v>539</v>
      </c>
    </row>
    <row r="248" spans="1:3" x14ac:dyDescent="0.3">
      <c r="A248" t="s">
        <v>540</v>
      </c>
      <c r="B248" s="2">
        <v>0</v>
      </c>
      <c r="C248" t="s">
        <v>539</v>
      </c>
    </row>
    <row r="249" spans="1:3" x14ac:dyDescent="0.3">
      <c r="A249" t="s">
        <v>547</v>
      </c>
      <c r="B249" s="2">
        <v>0</v>
      </c>
      <c r="C249" t="s">
        <v>539</v>
      </c>
    </row>
    <row r="250" spans="1:3" x14ac:dyDescent="0.3">
      <c r="A250" t="s">
        <v>548</v>
      </c>
      <c r="B250" s="2">
        <v>0</v>
      </c>
      <c r="C250" t="s">
        <v>539</v>
      </c>
    </row>
    <row r="253" spans="1:3" x14ac:dyDescent="0.3">
      <c r="A253" t="s">
        <v>534</v>
      </c>
      <c r="B253" s="2" t="s">
        <v>6</v>
      </c>
      <c r="C253" t="s">
        <v>42</v>
      </c>
    </row>
    <row r="254" spans="1:3" x14ac:dyDescent="0.3">
      <c r="A254" s="5" t="s">
        <v>409</v>
      </c>
      <c r="B254" s="22">
        <v>0</v>
      </c>
      <c r="C254" s="13" t="s">
        <v>517</v>
      </c>
    </row>
    <row r="255" spans="1:3" x14ac:dyDescent="0.3">
      <c r="A255" s="5" t="s">
        <v>519</v>
      </c>
      <c r="B255" s="22">
        <v>0</v>
      </c>
      <c r="C255" s="13" t="s">
        <v>520</v>
      </c>
    </row>
    <row r="256" spans="1:3" x14ac:dyDescent="0.3">
      <c r="A256" s="5" t="s">
        <v>535</v>
      </c>
      <c r="B256" s="22">
        <v>0</v>
      </c>
      <c r="C256" s="13" t="s">
        <v>533</v>
      </c>
    </row>
    <row r="257" spans="1:3" x14ac:dyDescent="0.3">
      <c r="A257" s="5" t="s">
        <v>521</v>
      </c>
      <c r="B257" s="22">
        <v>0</v>
      </c>
      <c r="C257" s="13" t="s">
        <v>517</v>
      </c>
    </row>
    <row r="258" spans="1:3" x14ac:dyDescent="0.3">
      <c r="A258" s="21" t="s">
        <v>622</v>
      </c>
      <c r="B258" s="29">
        <v>0</v>
      </c>
      <c r="C258" s="13" t="s">
        <v>520</v>
      </c>
    </row>
    <row r="259" spans="1:3" x14ac:dyDescent="0.3">
      <c r="A259" s="5" t="s">
        <v>531</v>
      </c>
      <c r="B259" s="22">
        <v>0</v>
      </c>
      <c r="C259" s="13" t="s">
        <v>522</v>
      </c>
    </row>
    <row r="260" spans="1:3" x14ac:dyDescent="0.3">
      <c r="A260" s="32" t="s">
        <v>523</v>
      </c>
      <c r="B260" s="41">
        <v>804</v>
      </c>
      <c r="C260" s="30" t="s">
        <v>524</v>
      </c>
    </row>
    <row r="261" spans="1:3" x14ac:dyDescent="0.3">
      <c r="A261" s="5" t="s">
        <v>525</v>
      </c>
      <c r="B261" s="22">
        <v>0</v>
      </c>
      <c r="C261" s="13" t="s">
        <v>527</v>
      </c>
    </row>
    <row r="264" spans="1:3" x14ac:dyDescent="0.3">
      <c r="A264" t="s">
        <v>537</v>
      </c>
      <c r="B264" s="2" t="s">
        <v>225</v>
      </c>
      <c r="C264" t="s">
        <v>42</v>
      </c>
    </row>
    <row r="265" spans="1:3" x14ac:dyDescent="0.3">
      <c r="A265" s="5" t="s">
        <v>538</v>
      </c>
      <c r="B265" s="22">
        <v>1049</v>
      </c>
      <c r="C265" s="13" t="s">
        <v>539</v>
      </c>
    </row>
    <row r="266" spans="1:3" x14ac:dyDescent="0.3">
      <c r="A266" s="5" t="s">
        <v>540</v>
      </c>
      <c r="B266" s="22">
        <v>1888</v>
      </c>
      <c r="C266" s="13" t="s">
        <v>539</v>
      </c>
    </row>
    <row r="267" spans="1:3" x14ac:dyDescent="0.3">
      <c r="A267" s="5" t="s">
        <v>541</v>
      </c>
      <c r="B267" s="22">
        <v>0</v>
      </c>
      <c r="C267" s="13" t="s">
        <v>539</v>
      </c>
    </row>
    <row r="269" spans="1:3" x14ac:dyDescent="0.3">
      <c r="A269" t="s">
        <v>623</v>
      </c>
      <c r="B269" s="2" t="s">
        <v>6</v>
      </c>
      <c r="C269" t="s">
        <v>42</v>
      </c>
    </row>
    <row r="270" spans="1:3" x14ac:dyDescent="0.3">
      <c r="A270" s="7" t="s">
        <v>548</v>
      </c>
      <c r="B270" s="23">
        <v>0</v>
      </c>
      <c r="C270" s="10" t="s">
        <v>539</v>
      </c>
    </row>
    <row r="271" spans="1:3" x14ac:dyDescent="0.3">
      <c r="A271" s="5" t="s">
        <v>538</v>
      </c>
      <c r="B271" s="22">
        <v>0</v>
      </c>
      <c r="C271" s="13" t="s">
        <v>539</v>
      </c>
    </row>
    <row r="272" spans="1:3" x14ac:dyDescent="0.3">
      <c r="A272" s="5" t="s">
        <v>540</v>
      </c>
      <c r="B272" s="22">
        <v>0</v>
      </c>
      <c r="C272" s="13" t="s">
        <v>539</v>
      </c>
    </row>
    <row r="273" spans="1:3" x14ac:dyDescent="0.3">
      <c r="A273" s="5" t="s">
        <v>541</v>
      </c>
      <c r="B273" s="22">
        <v>0</v>
      </c>
      <c r="C273" s="13" t="s">
        <v>539</v>
      </c>
    </row>
    <row r="276" spans="1:3" x14ac:dyDescent="0.3">
      <c r="A276" t="s">
        <v>659</v>
      </c>
      <c r="B276" s="2" t="s">
        <v>6</v>
      </c>
      <c r="C276" t="s">
        <v>42</v>
      </c>
    </row>
    <row r="277" spans="1:3" x14ac:dyDescent="0.3">
      <c r="A277" t="s">
        <v>660</v>
      </c>
      <c r="B277" s="2">
        <v>0</v>
      </c>
      <c r="C277" t="s">
        <v>661</v>
      </c>
    </row>
    <row r="278" spans="1:3" x14ac:dyDescent="0.3">
      <c r="A278" t="s">
        <v>662</v>
      </c>
      <c r="B278" s="2">
        <v>0</v>
      </c>
      <c r="C278" t="s">
        <v>663</v>
      </c>
    </row>
    <row r="279" spans="1:3" x14ac:dyDescent="0.3">
      <c r="A279" t="s">
        <v>664</v>
      </c>
      <c r="B279" s="2">
        <v>0</v>
      </c>
      <c r="C279" t="s">
        <v>661</v>
      </c>
    </row>
    <row r="280" spans="1:3" x14ac:dyDescent="0.3">
      <c r="A280" t="s">
        <v>665</v>
      </c>
      <c r="B280" s="2" t="s">
        <v>666</v>
      </c>
      <c r="C280" t="s">
        <v>667</v>
      </c>
    </row>
    <row r="283" spans="1:3" x14ac:dyDescent="0.3">
      <c r="A283" s="16" t="s">
        <v>668</v>
      </c>
      <c r="B283" s="40" t="s">
        <v>6</v>
      </c>
      <c r="C283" s="17" t="s">
        <v>42</v>
      </c>
    </row>
    <row r="284" spans="1:3" x14ac:dyDescent="0.3">
      <c r="A284" s="7" t="s">
        <v>665</v>
      </c>
      <c r="B284" s="23">
        <v>0</v>
      </c>
      <c r="C284" s="14" t="s">
        <v>667</v>
      </c>
    </row>
    <row r="285" spans="1:3" x14ac:dyDescent="0.3">
      <c r="A285" t="s">
        <v>669</v>
      </c>
      <c r="B285" s="23">
        <v>0</v>
      </c>
      <c r="C285" s="14" t="s">
        <v>667</v>
      </c>
    </row>
    <row r="286" spans="1:3" x14ac:dyDescent="0.3">
      <c r="A286" t="s">
        <v>670</v>
      </c>
      <c r="B286" s="23">
        <v>0</v>
      </c>
      <c r="C286" s="14" t="s">
        <v>667</v>
      </c>
    </row>
    <row r="289" spans="1:3" x14ac:dyDescent="0.3">
      <c r="A289" s="16" t="s">
        <v>671</v>
      </c>
      <c r="B289" s="40" t="s">
        <v>6</v>
      </c>
      <c r="C289" s="17" t="s">
        <v>42</v>
      </c>
    </row>
    <row r="290" spans="1:3" x14ac:dyDescent="0.3">
      <c r="A290" s="7" t="s">
        <v>665</v>
      </c>
      <c r="B290" s="23">
        <v>0</v>
      </c>
      <c r="C290" s="14" t="s">
        <v>667</v>
      </c>
    </row>
    <row r="291" spans="1:3" x14ac:dyDescent="0.3">
      <c r="A291" t="s">
        <v>669</v>
      </c>
      <c r="B291" s="23">
        <v>0</v>
      </c>
      <c r="C291" s="14" t="s">
        <v>667</v>
      </c>
    </row>
    <row r="292" spans="1:3" x14ac:dyDescent="0.3">
      <c r="A292" t="s">
        <v>670</v>
      </c>
      <c r="B292" s="23">
        <v>0</v>
      </c>
      <c r="C292" s="14" t="s">
        <v>667</v>
      </c>
    </row>
    <row r="295" spans="1:3" x14ac:dyDescent="0.3">
      <c r="A295" s="16" t="s">
        <v>672</v>
      </c>
      <c r="B295" s="40" t="s">
        <v>6</v>
      </c>
      <c r="C295" s="18" t="s">
        <v>42</v>
      </c>
    </row>
    <row r="296" spans="1:3" x14ac:dyDescent="0.3">
      <c r="A296" t="s">
        <v>673</v>
      </c>
      <c r="B296" s="2">
        <v>0</v>
      </c>
      <c r="C296" s="10" t="s">
        <v>667</v>
      </c>
    </row>
    <row r="297" spans="1:3" x14ac:dyDescent="0.3">
      <c r="A297" s="5" t="s">
        <v>669</v>
      </c>
      <c r="B297" s="23">
        <v>0</v>
      </c>
      <c r="C297" s="10" t="s">
        <v>667</v>
      </c>
    </row>
    <row r="298" spans="1:3" x14ac:dyDescent="0.3">
      <c r="A298" t="s">
        <v>670</v>
      </c>
      <c r="B298" s="23">
        <v>0</v>
      </c>
      <c r="C298" s="14" t="s">
        <v>667</v>
      </c>
    </row>
    <row r="301" spans="1:3" x14ac:dyDescent="0.3">
      <c r="A301" t="s">
        <v>729</v>
      </c>
      <c r="B301" s="2" t="s">
        <v>6</v>
      </c>
      <c r="C301" t="s">
        <v>42</v>
      </c>
    </row>
    <row r="302" spans="1:3" x14ac:dyDescent="0.3">
      <c r="A302" s="7" t="s">
        <v>734</v>
      </c>
      <c r="B302" s="23">
        <v>0</v>
      </c>
      <c r="C302" s="13" t="s">
        <v>730</v>
      </c>
    </row>
    <row r="303" spans="1:3" x14ac:dyDescent="0.3">
      <c r="A303" s="5" t="s">
        <v>521</v>
      </c>
      <c r="B303" s="22">
        <v>1049</v>
      </c>
      <c r="C303" s="13" t="s">
        <v>731</v>
      </c>
    </row>
    <row r="304" spans="1:3" x14ac:dyDescent="0.3">
      <c r="A304" s="5" t="s">
        <v>732</v>
      </c>
      <c r="B304" s="22" t="s">
        <v>733</v>
      </c>
      <c r="C304" s="13" t="s">
        <v>731</v>
      </c>
    </row>
    <row r="307" spans="1:3" x14ac:dyDescent="0.3">
      <c r="A307" t="s">
        <v>738</v>
      </c>
      <c r="B307" s="2" t="s">
        <v>6</v>
      </c>
      <c r="C307" t="s">
        <v>42</v>
      </c>
    </row>
    <row r="308" spans="1:3" x14ac:dyDescent="0.3">
      <c r="A308" s="7" t="s">
        <v>735</v>
      </c>
      <c r="B308" s="23">
        <v>0</v>
      </c>
      <c r="C308" s="13" t="s">
        <v>730</v>
      </c>
    </row>
    <row r="309" spans="1:3" x14ac:dyDescent="0.3">
      <c r="A309" s="5" t="s">
        <v>417</v>
      </c>
      <c r="B309" s="22">
        <v>0</v>
      </c>
      <c r="C309" s="13" t="s">
        <v>731</v>
      </c>
    </row>
    <row r="310" spans="1:3" x14ac:dyDescent="0.3">
      <c r="A310" s="7" t="s">
        <v>732</v>
      </c>
      <c r="B310" s="23" t="s">
        <v>733</v>
      </c>
      <c r="C310" s="10" t="s">
        <v>731</v>
      </c>
    </row>
    <row r="311" spans="1:3" x14ac:dyDescent="0.3">
      <c r="A311" s="21" t="s">
        <v>736</v>
      </c>
      <c r="B311" s="2" t="s">
        <v>737</v>
      </c>
      <c r="C311" s="10" t="s">
        <v>731</v>
      </c>
    </row>
    <row r="314" spans="1:3" x14ac:dyDescent="0.3">
      <c r="A314" t="s">
        <v>739</v>
      </c>
      <c r="B314" s="2" t="s">
        <v>6</v>
      </c>
      <c r="C314" t="s">
        <v>42</v>
      </c>
    </row>
    <row r="315" spans="1:3" x14ac:dyDescent="0.3">
      <c r="A315" t="s">
        <v>740</v>
      </c>
      <c r="B315" s="2">
        <v>0</v>
      </c>
      <c r="C315" s="10" t="s">
        <v>741</v>
      </c>
    </row>
    <row r="316" spans="1:3" x14ac:dyDescent="0.3">
      <c r="A316" t="s">
        <v>742</v>
      </c>
      <c r="B316" s="2">
        <v>0</v>
      </c>
      <c r="C316" s="10" t="s">
        <v>741</v>
      </c>
    </row>
    <row r="317" spans="1:3" x14ac:dyDescent="0.3">
      <c r="A317" t="s">
        <v>743</v>
      </c>
      <c r="B317" s="2">
        <v>1328</v>
      </c>
      <c r="C317" s="10" t="s">
        <v>741</v>
      </c>
    </row>
    <row r="320" spans="1:3" x14ac:dyDescent="0.3">
      <c r="A320" t="s">
        <v>811</v>
      </c>
      <c r="B320" s="2" t="s">
        <v>6</v>
      </c>
      <c r="C320" t="s">
        <v>42</v>
      </c>
    </row>
    <row r="321" spans="1:3" x14ac:dyDescent="0.3">
      <c r="A321" t="s">
        <v>812</v>
      </c>
      <c r="B321" s="2">
        <v>0</v>
      </c>
      <c r="C321" s="10" t="s">
        <v>814</v>
      </c>
    </row>
    <row r="322" spans="1:3" x14ac:dyDescent="0.3">
      <c r="A322" t="s">
        <v>815</v>
      </c>
      <c r="B322" s="2" t="s">
        <v>388</v>
      </c>
      <c r="C322" s="10" t="s">
        <v>814</v>
      </c>
    </row>
    <row r="325" spans="1:3" x14ac:dyDescent="0.3">
      <c r="A325" t="s">
        <v>816</v>
      </c>
      <c r="B325" s="2" t="s">
        <v>6</v>
      </c>
      <c r="C325" t="s">
        <v>42</v>
      </c>
    </row>
    <row r="326" spans="1:3" x14ac:dyDescent="0.3">
      <c r="A326" s="5" t="s">
        <v>417</v>
      </c>
      <c r="B326" s="2">
        <v>0</v>
      </c>
      <c r="C326" s="10" t="s">
        <v>814</v>
      </c>
    </row>
    <row r="327" spans="1:3" x14ac:dyDescent="0.3">
      <c r="A327" s="5" t="s">
        <v>815</v>
      </c>
      <c r="B327" s="22" t="s">
        <v>388</v>
      </c>
      <c r="C327" s="13" t="s">
        <v>814</v>
      </c>
    </row>
    <row r="330" spans="1:3" x14ac:dyDescent="0.3">
      <c r="A330" t="s">
        <v>817</v>
      </c>
      <c r="B330" s="2" t="s">
        <v>225</v>
      </c>
      <c r="C330" t="s">
        <v>42</v>
      </c>
    </row>
    <row r="331" spans="1:3" x14ac:dyDescent="0.3">
      <c r="A331" s="5" t="s">
        <v>818</v>
      </c>
      <c r="B331" s="22">
        <v>0</v>
      </c>
      <c r="C331" s="10" t="s">
        <v>813</v>
      </c>
    </row>
    <row r="332" spans="1:3" x14ac:dyDescent="0.3">
      <c r="A332" t="s">
        <v>819</v>
      </c>
      <c r="B332" s="2">
        <v>699</v>
      </c>
      <c r="C332" s="10" t="s">
        <v>813</v>
      </c>
    </row>
    <row r="333" spans="1:3" x14ac:dyDescent="0.3">
      <c r="A333" t="s">
        <v>820</v>
      </c>
      <c r="B333" s="2">
        <v>1818</v>
      </c>
      <c r="C333" s="10" t="s">
        <v>813</v>
      </c>
    </row>
    <row r="336" spans="1:3" x14ac:dyDescent="0.3">
      <c r="A336" t="s">
        <v>853</v>
      </c>
      <c r="B336" s="2" t="s">
        <v>6</v>
      </c>
      <c r="C336" t="s">
        <v>42</v>
      </c>
    </row>
    <row r="337" spans="1:3" x14ac:dyDescent="0.3">
      <c r="A337" s="5" t="s">
        <v>815</v>
      </c>
      <c r="B337" s="22">
        <v>0</v>
      </c>
      <c r="C337" s="13" t="s">
        <v>814</v>
      </c>
    </row>
    <row r="340" spans="1:3" x14ac:dyDescent="0.3">
      <c r="A340" t="s">
        <v>882</v>
      </c>
      <c r="B340" s="2" t="s">
        <v>6</v>
      </c>
      <c r="C340" t="s">
        <v>42</v>
      </c>
    </row>
    <row r="341" spans="1:3" x14ac:dyDescent="0.3">
      <c r="A341" s="7" t="s">
        <v>734</v>
      </c>
      <c r="B341" s="23">
        <v>0</v>
      </c>
      <c r="C341" s="13" t="s">
        <v>884</v>
      </c>
    </row>
    <row r="342" spans="1:3" x14ac:dyDescent="0.3">
      <c r="A342" t="s">
        <v>408</v>
      </c>
      <c r="B342" s="2">
        <v>692</v>
      </c>
      <c r="C342" s="10" t="s">
        <v>883</v>
      </c>
    </row>
    <row r="343" spans="1:3" x14ac:dyDescent="0.3">
      <c r="A343" t="s">
        <v>885</v>
      </c>
      <c r="B343" s="2" t="s">
        <v>388</v>
      </c>
      <c r="C343" s="10" t="s">
        <v>883</v>
      </c>
    </row>
    <row r="346" spans="1:3" x14ac:dyDescent="0.3">
      <c r="A346" t="s">
        <v>886</v>
      </c>
      <c r="B346" s="2" t="s">
        <v>6</v>
      </c>
      <c r="C346" t="s">
        <v>42</v>
      </c>
    </row>
    <row r="347" spans="1:3" x14ac:dyDescent="0.3">
      <c r="A347" s="7" t="s">
        <v>735</v>
      </c>
      <c r="B347" s="23">
        <v>0</v>
      </c>
      <c r="C347" s="13" t="s">
        <v>888</v>
      </c>
    </row>
    <row r="348" spans="1:3" x14ac:dyDescent="0.3">
      <c r="A348" s="5" t="s">
        <v>408</v>
      </c>
      <c r="B348" s="22">
        <v>0</v>
      </c>
      <c r="C348" s="10" t="s">
        <v>883</v>
      </c>
    </row>
    <row r="349" spans="1:3" x14ac:dyDescent="0.3">
      <c r="A349" s="7" t="s">
        <v>885</v>
      </c>
      <c r="B349" s="23" t="s">
        <v>388</v>
      </c>
      <c r="C349" s="10" t="s">
        <v>888</v>
      </c>
    </row>
    <row r="350" spans="1:3" x14ac:dyDescent="0.3">
      <c r="A350" s="21" t="s">
        <v>887</v>
      </c>
      <c r="B350" s="2">
        <v>0</v>
      </c>
      <c r="C350" s="10" t="s">
        <v>883</v>
      </c>
    </row>
    <row r="353" spans="1:3" x14ac:dyDescent="0.3">
      <c r="A353" t="s">
        <v>889</v>
      </c>
      <c r="B353" s="2" t="s">
        <v>6</v>
      </c>
      <c r="C353" t="s">
        <v>42</v>
      </c>
    </row>
    <row r="354" spans="1:3" x14ac:dyDescent="0.3">
      <c r="A354" t="s">
        <v>890</v>
      </c>
      <c r="B354" s="2">
        <v>0</v>
      </c>
      <c r="C354" t="s">
        <v>891</v>
      </c>
    </row>
    <row r="355" spans="1:3" x14ac:dyDescent="0.3">
      <c r="A355" t="s">
        <v>892</v>
      </c>
      <c r="B355" s="2">
        <v>692</v>
      </c>
      <c r="C355" t="s">
        <v>891</v>
      </c>
    </row>
    <row r="356" spans="1:3" x14ac:dyDescent="0.3">
      <c r="A356" t="s">
        <v>893</v>
      </c>
      <c r="B356" s="2">
        <v>692</v>
      </c>
      <c r="C356" t="s">
        <v>891</v>
      </c>
    </row>
    <row r="357" spans="1:3" x14ac:dyDescent="0.3">
      <c r="A357" t="s">
        <v>894</v>
      </c>
      <c r="B357" s="2" t="s">
        <v>895</v>
      </c>
      <c r="C357" t="s">
        <v>891</v>
      </c>
    </row>
    <row r="360" spans="1:3" x14ac:dyDescent="0.3">
      <c r="A360" t="s">
        <v>938</v>
      </c>
      <c r="B360" s="2" t="s">
        <v>6</v>
      </c>
      <c r="C360" t="s">
        <v>42</v>
      </c>
    </row>
    <row r="361" spans="1:3" x14ac:dyDescent="0.3">
      <c r="A361" t="s">
        <v>939</v>
      </c>
      <c r="B361" s="2">
        <v>0</v>
      </c>
      <c r="C361" t="s">
        <v>940</v>
      </c>
    </row>
    <row r="362" spans="1:3" x14ac:dyDescent="0.3">
      <c r="A362" t="s">
        <v>941</v>
      </c>
      <c r="B362" s="2" t="s">
        <v>942</v>
      </c>
      <c r="C362" t="s">
        <v>947</v>
      </c>
    </row>
    <row r="363" spans="1:3" x14ac:dyDescent="0.3">
      <c r="A363" t="s">
        <v>943</v>
      </c>
      <c r="B363" s="2" t="s">
        <v>388</v>
      </c>
      <c r="C363" t="s">
        <v>947</v>
      </c>
    </row>
    <row r="364" spans="1:3" x14ac:dyDescent="0.3">
      <c r="A364" t="s">
        <v>944</v>
      </c>
      <c r="B364" s="2">
        <v>445</v>
      </c>
      <c r="C364" t="s">
        <v>947</v>
      </c>
    </row>
    <row r="367" spans="1:3" x14ac:dyDescent="0.3">
      <c r="A367" t="s">
        <v>945</v>
      </c>
      <c r="B367" s="2" t="s">
        <v>6</v>
      </c>
      <c r="C367" t="s">
        <v>42</v>
      </c>
    </row>
    <row r="368" spans="1:3" x14ac:dyDescent="0.3">
      <c r="A368" t="s">
        <v>946</v>
      </c>
      <c r="B368" s="2">
        <v>0</v>
      </c>
      <c r="C368" s="13" t="s">
        <v>940</v>
      </c>
    </row>
    <row r="369" spans="1:3" x14ac:dyDescent="0.3">
      <c r="A369" t="s">
        <v>948</v>
      </c>
      <c r="B369" s="2">
        <v>445</v>
      </c>
      <c r="C369" s="10" t="s">
        <v>947</v>
      </c>
    </row>
    <row r="370" spans="1:3" x14ac:dyDescent="0.3">
      <c r="A370" s="5" t="s">
        <v>941</v>
      </c>
      <c r="B370" s="12" t="s">
        <v>942</v>
      </c>
      <c r="C370" s="13" t="s">
        <v>947</v>
      </c>
    </row>
    <row r="371" spans="1:3" x14ac:dyDescent="0.3">
      <c r="A371" s="5" t="s">
        <v>943</v>
      </c>
      <c r="B371" s="12" t="s">
        <v>388</v>
      </c>
      <c r="C371" s="13" t="s">
        <v>947</v>
      </c>
    </row>
    <row r="372" spans="1:3" x14ac:dyDescent="0.3">
      <c r="A372" s="5" t="s">
        <v>944</v>
      </c>
      <c r="B372" s="12">
        <v>445</v>
      </c>
      <c r="C372" s="13" t="s">
        <v>947</v>
      </c>
    </row>
    <row r="375" spans="1:3" x14ac:dyDescent="0.3">
      <c r="A375" t="s">
        <v>949</v>
      </c>
      <c r="B375" s="2" t="s">
        <v>225</v>
      </c>
      <c r="C375" t="s">
        <v>42</v>
      </c>
    </row>
    <row r="376" spans="1:3" x14ac:dyDescent="0.3">
      <c r="A376" s="5" t="s">
        <v>950</v>
      </c>
      <c r="B376" s="12">
        <v>0</v>
      </c>
      <c r="C376" s="13" t="s">
        <v>947</v>
      </c>
    </row>
    <row r="377" spans="1:3" x14ac:dyDescent="0.3">
      <c r="A377" s="5" t="s">
        <v>944</v>
      </c>
      <c r="B377" s="12">
        <v>0</v>
      </c>
      <c r="C377" s="13" t="s">
        <v>947</v>
      </c>
    </row>
  </sheetData>
  <pageMargins left="0.7" right="0.7" top="0.75" bottom="0.75" header="0.3" footer="0.3"/>
  <pageSetup paperSize="9" orientation="portrait" r:id="rId1"/>
  <tableParts count="53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  <tablePart r:id="rId43"/>
    <tablePart r:id="rId44"/>
    <tablePart r:id="rId45"/>
    <tablePart r:id="rId46"/>
    <tablePart r:id="rId47"/>
    <tablePart r:id="rId48"/>
    <tablePart r:id="rId49"/>
    <tablePart r:id="rId50"/>
    <tablePart r:id="rId51"/>
    <tablePart r:id="rId52"/>
    <tablePart r:id="rId53"/>
    <tablePart r:id="rId5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C115"/>
  <sheetViews>
    <sheetView topLeftCell="A31" workbookViewId="0">
      <selection activeCell="G106" sqref="G106"/>
    </sheetView>
  </sheetViews>
  <sheetFormatPr defaultRowHeight="14.4" x14ac:dyDescent="0.3"/>
  <cols>
    <col min="1" max="1" width="66.44140625" bestFit="1" customWidth="1"/>
    <col min="2" max="2" width="12.5546875" style="2" bestFit="1" customWidth="1"/>
    <col min="4" max="4" width="52.109375" bestFit="1" customWidth="1"/>
    <col min="5" max="5" width="16.88671875" style="2" bestFit="1" customWidth="1"/>
    <col min="7" max="7" width="56.5546875" bestFit="1" customWidth="1"/>
    <col min="8" max="8" width="12.5546875" style="2" bestFit="1" customWidth="1"/>
    <col min="10" max="10" width="49.109375" bestFit="1" customWidth="1"/>
    <col min="11" max="11" width="10.44140625" bestFit="1" customWidth="1"/>
    <col min="13" max="13" width="51.109375" bestFit="1" customWidth="1"/>
    <col min="14" max="14" width="10.44140625" bestFit="1" customWidth="1"/>
    <col min="16" max="16" width="49.109375" bestFit="1" customWidth="1"/>
    <col min="17" max="17" width="10.44140625" bestFit="1" customWidth="1"/>
    <col min="19" max="19" width="49.109375" bestFit="1" customWidth="1"/>
    <col min="20" max="20" width="10.44140625" bestFit="1" customWidth="1"/>
    <col min="22" max="22" width="49.109375" bestFit="1" customWidth="1"/>
    <col min="23" max="23" width="10.44140625" bestFit="1" customWidth="1"/>
    <col min="25" max="25" width="49.109375" bestFit="1" customWidth="1"/>
    <col min="26" max="26" width="10.44140625" bestFit="1" customWidth="1"/>
    <col min="28" max="28" width="49.109375" bestFit="1" customWidth="1"/>
    <col min="29" max="29" width="10.44140625" bestFit="1" customWidth="1"/>
  </cols>
  <sheetData>
    <row r="1" spans="1:11" x14ac:dyDescent="0.3">
      <c r="A1" t="s">
        <v>61</v>
      </c>
      <c r="B1" s="2" t="s">
        <v>6</v>
      </c>
      <c r="D1" t="s">
        <v>88</v>
      </c>
      <c r="E1" s="2" t="s">
        <v>6</v>
      </c>
      <c r="G1" t="s">
        <v>97</v>
      </c>
      <c r="H1" s="2" t="s">
        <v>6</v>
      </c>
      <c r="J1" t="s">
        <v>107</v>
      </c>
      <c r="K1" t="s">
        <v>6</v>
      </c>
    </row>
    <row r="2" spans="1:11" x14ac:dyDescent="0.3">
      <c r="A2" t="s">
        <v>60</v>
      </c>
      <c r="B2" s="2">
        <v>2657</v>
      </c>
      <c r="D2" t="s">
        <v>60</v>
      </c>
      <c r="E2" s="2">
        <v>2657</v>
      </c>
      <c r="G2" t="s">
        <v>60</v>
      </c>
      <c r="H2" s="2">
        <v>2657</v>
      </c>
      <c r="J2" t="s">
        <v>60</v>
      </c>
      <c r="K2" s="2">
        <v>2657</v>
      </c>
    </row>
    <row r="3" spans="1:11" x14ac:dyDescent="0.3">
      <c r="A3" t="s">
        <v>62</v>
      </c>
      <c r="B3" s="2">
        <v>0</v>
      </c>
      <c r="D3" t="s">
        <v>62</v>
      </c>
      <c r="E3" s="2">
        <v>0</v>
      </c>
      <c r="G3" t="s">
        <v>62</v>
      </c>
      <c r="H3" s="2">
        <v>0</v>
      </c>
      <c r="J3" t="s">
        <v>62</v>
      </c>
      <c r="K3" s="2">
        <v>0</v>
      </c>
    </row>
    <row r="4" spans="1:11" x14ac:dyDescent="0.3">
      <c r="A4" t="s">
        <v>64</v>
      </c>
      <c r="B4" s="2">
        <v>1503</v>
      </c>
      <c r="D4" t="s">
        <v>64</v>
      </c>
      <c r="E4" s="2">
        <v>1503</v>
      </c>
      <c r="G4" t="s">
        <v>64</v>
      </c>
      <c r="H4" s="2">
        <v>1503</v>
      </c>
      <c r="J4" t="s">
        <v>64</v>
      </c>
      <c r="K4" s="2">
        <v>1503</v>
      </c>
    </row>
    <row r="5" spans="1:11" x14ac:dyDescent="0.3">
      <c r="A5" t="s">
        <v>65</v>
      </c>
      <c r="B5" s="2">
        <v>769</v>
      </c>
      <c r="D5" t="s">
        <v>65</v>
      </c>
      <c r="E5" s="2">
        <v>769</v>
      </c>
      <c r="G5" t="s">
        <v>65</v>
      </c>
      <c r="H5" s="2">
        <v>769</v>
      </c>
      <c r="J5" t="s">
        <v>66</v>
      </c>
      <c r="K5" s="2">
        <v>769</v>
      </c>
    </row>
    <row r="6" spans="1:11" x14ac:dyDescent="0.3">
      <c r="A6" t="s">
        <v>66</v>
      </c>
      <c r="B6" s="2">
        <v>769</v>
      </c>
      <c r="D6" t="s">
        <v>66</v>
      </c>
      <c r="E6" s="2">
        <v>769</v>
      </c>
      <c r="G6" t="s">
        <v>66</v>
      </c>
      <c r="H6" s="2">
        <v>769</v>
      </c>
      <c r="J6" t="s">
        <v>67</v>
      </c>
      <c r="K6" s="2">
        <v>594</v>
      </c>
    </row>
    <row r="7" spans="1:11" x14ac:dyDescent="0.3">
      <c r="A7" t="s">
        <v>67</v>
      </c>
      <c r="B7" s="2">
        <v>594</v>
      </c>
      <c r="D7" t="s">
        <v>67</v>
      </c>
      <c r="E7" s="2">
        <v>594</v>
      </c>
      <c r="G7" t="s">
        <v>67</v>
      </c>
      <c r="H7" s="2">
        <v>594</v>
      </c>
      <c r="J7" t="s">
        <v>68</v>
      </c>
      <c r="K7" s="2">
        <v>594</v>
      </c>
    </row>
    <row r="8" spans="1:11" x14ac:dyDescent="0.3">
      <c r="A8" t="s">
        <v>68</v>
      </c>
      <c r="B8" s="2">
        <v>594</v>
      </c>
      <c r="D8" t="s">
        <v>68</v>
      </c>
      <c r="E8" s="2">
        <v>594</v>
      </c>
      <c r="G8" t="s">
        <v>68</v>
      </c>
      <c r="H8" s="2">
        <v>594</v>
      </c>
      <c r="J8" t="s">
        <v>69</v>
      </c>
      <c r="K8" s="2">
        <v>1381</v>
      </c>
    </row>
    <row r="9" spans="1:11" x14ac:dyDescent="0.3">
      <c r="A9" t="s">
        <v>69</v>
      </c>
      <c r="B9" s="2">
        <v>1381</v>
      </c>
      <c r="D9" t="s">
        <v>69</v>
      </c>
      <c r="E9" s="2">
        <v>1381</v>
      </c>
      <c r="G9" t="s">
        <v>69</v>
      </c>
      <c r="H9" s="2">
        <v>1381</v>
      </c>
      <c r="J9" t="s">
        <v>70</v>
      </c>
      <c r="K9" s="2">
        <v>629</v>
      </c>
    </row>
    <row r="10" spans="1:11" x14ac:dyDescent="0.3">
      <c r="A10" t="s">
        <v>70</v>
      </c>
      <c r="B10" s="2">
        <v>629</v>
      </c>
      <c r="D10" t="s">
        <v>70</v>
      </c>
      <c r="E10" s="2">
        <v>629</v>
      </c>
      <c r="G10" t="s">
        <v>70</v>
      </c>
      <c r="H10" s="2">
        <v>629</v>
      </c>
    </row>
    <row r="13" spans="1:11" x14ac:dyDescent="0.3">
      <c r="A13" t="s">
        <v>136</v>
      </c>
      <c r="B13" s="2" t="s">
        <v>6</v>
      </c>
      <c r="D13" t="s">
        <v>150</v>
      </c>
      <c r="E13" s="2" t="s">
        <v>6</v>
      </c>
      <c r="G13" t="s">
        <v>165</v>
      </c>
      <c r="H13" s="2" t="s">
        <v>6</v>
      </c>
    </row>
    <row r="14" spans="1:11" x14ac:dyDescent="0.3">
      <c r="A14" t="s">
        <v>137</v>
      </c>
      <c r="B14" s="2">
        <v>0</v>
      </c>
      <c r="D14" t="s">
        <v>137</v>
      </c>
      <c r="E14" s="2">
        <v>0</v>
      </c>
      <c r="G14" s="7" t="s">
        <v>166</v>
      </c>
      <c r="H14" s="2">
        <v>0</v>
      </c>
    </row>
    <row r="15" spans="1:11" x14ac:dyDescent="0.3">
      <c r="A15" t="s">
        <v>138</v>
      </c>
      <c r="B15" s="2">
        <v>0</v>
      </c>
      <c r="D15" t="s">
        <v>138</v>
      </c>
      <c r="E15" s="2">
        <v>0</v>
      </c>
      <c r="G15" t="s">
        <v>167</v>
      </c>
      <c r="H15" s="2">
        <v>692</v>
      </c>
    </row>
    <row r="16" spans="1:11" x14ac:dyDescent="0.3">
      <c r="A16" t="s">
        <v>139</v>
      </c>
      <c r="B16" s="2" t="s">
        <v>140</v>
      </c>
      <c r="D16" t="s">
        <v>139</v>
      </c>
      <c r="E16" s="2" t="s">
        <v>140</v>
      </c>
      <c r="G16" t="s">
        <v>168</v>
      </c>
      <c r="H16" s="2" t="s">
        <v>164</v>
      </c>
    </row>
    <row r="19" spans="1:11" x14ac:dyDescent="0.3">
      <c r="A19" t="s">
        <v>205</v>
      </c>
      <c r="B19" s="2" t="s">
        <v>6</v>
      </c>
      <c r="D19" t="s">
        <v>218</v>
      </c>
      <c r="E19" s="2" t="s">
        <v>6</v>
      </c>
      <c r="G19" t="s">
        <v>229</v>
      </c>
      <c r="H19" s="2" t="s">
        <v>6</v>
      </c>
    </row>
    <row r="20" spans="1:11" x14ac:dyDescent="0.3">
      <c r="A20" t="s">
        <v>207</v>
      </c>
      <c r="B20" s="2">
        <v>3147</v>
      </c>
      <c r="D20" t="s">
        <v>207</v>
      </c>
      <c r="E20" s="2">
        <v>3147</v>
      </c>
      <c r="G20" s="20" t="s">
        <v>230</v>
      </c>
      <c r="H20" s="24">
        <v>0</v>
      </c>
    </row>
    <row r="21" spans="1:11" x14ac:dyDescent="0.3">
      <c r="A21" s="19" t="s">
        <v>208</v>
      </c>
      <c r="B21" s="2">
        <v>3427</v>
      </c>
      <c r="D21" s="19" t="s">
        <v>208</v>
      </c>
      <c r="E21" s="2">
        <v>3427</v>
      </c>
      <c r="G21" s="5" t="s">
        <v>209</v>
      </c>
      <c r="H21" s="24">
        <v>0</v>
      </c>
    </row>
    <row r="22" spans="1:11" x14ac:dyDescent="0.3">
      <c r="A22" t="s">
        <v>209</v>
      </c>
      <c r="B22" s="2">
        <v>2727</v>
      </c>
      <c r="D22" t="s">
        <v>209</v>
      </c>
      <c r="E22" s="2">
        <v>2727</v>
      </c>
      <c r="G22" s="5" t="s">
        <v>210</v>
      </c>
      <c r="H22" s="24">
        <v>0</v>
      </c>
    </row>
    <row r="23" spans="1:11" x14ac:dyDescent="0.3">
      <c r="A23" t="s">
        <v>210</v>
      </c>
      <c r="B23" s="2">
        <v>2727</v>
      </c>
      <c r="D23" t="s">
        <v>210</v>
      </c>
      <c r="E23" s="2">
        <v>2727</v>
      </c>
      <c r="G23" s="5" t="s">
        <v>211</v>
      </c>
      <c r="H23" s="24">
        <v>6224</v>
      </c>
    </row>
    <row r="24" spans="1:11" x14ac:dyDescent="0.3">
      <c r="A24" t="s">
        <v>211</v>
      </c>
      <c r="B24" s="2">
        <v>9021</v>
      </c>
      <c r="D24" t="s">
        <v>211</v>
      </c>
      <c r="E24" s="2">
        <v>9021</v>
      </c>
    </row>
    <row r="27" spans="1:11" x14ac:dyDescent="0.3">
      <c r="A27" t="s">
        <v>251</v>
      </c>
      <c r="B27" s="2" t="s">
        <v>6</v>
      </c>
      <c r="D27" t="s">
        <v>267</v>
      </c>
      <c r="E27" s="2" t="s">
        <v>6</v>
      </c>
      <c r="G27" t="s">
        <v>283</v>
      </c>
      <c r="H27" s="2" t="s">
        <v>6</v>
      </c>
      <c r="J27" t="s">
        <v>282</v>
      </c>
      <c r="K27" t="s">
        <v>6</v>
      </c>
    </row>
    <row r="28" spans="1:11" x14ac:dyDescent="0.3">
      <c r="A28" s="5" t="s">
        <v>254</v>
      </c>
      <c r="B28" s="24">
        <v>0</v>
      </c>
      <c r="D28" s="5" t="s">
        <v>254</v>
      </c>
      <c r="E28" s="24">
        <v>0</v>
      </c>
      <c r="G28" s="7" t="s">
        <v>166</v>
      </c>
      <c r="H28" s="2">
        <v>0</v>
      </c>
      <c r="J28" s="7" t="s">
        <v>166</v>
      </c>
      <c r="K28" s="2">
        <v>0</v>
      </c>
    </row>
    <row r="29" spans="1:11" x14ac:dyDescent="0.3">
      <c r="A29" s="5" t="s">
        <v>138</v>
      </c>
      <c r="B29" s="24">
        <v>0</v>
      </c>
      <c r="D29" s="5" t="s">
        <v>138</v>
      </c>
      <c r="E29" s="24">
        <v>0</v>
      </c>
    </row>
    <row r="30" spans="1:11" x14ac:dyDescent="0.3">
      <c r="A30" s="7" t="s">
        <v>139</v>
      </c>
      <c r="B30" s="27" t="s">
        <v>140</v>
      </c>
      <c r="D30" s="7" t="s">
        <v>139</v>
      </c>
      <c r="E30" s="27" t="s">
        <v>140</v>
      </c>
    </row>
    <row r="31" spans="1:11" x14ac:dyDescent="0.3">
      <c r="A31" s="21" t="s">
        <v>252</v>
      </c>
      <c r="B31" s="2" t="s">
        <v>253</v>
      </c>
      <c r="D31" s="21" t="s">
        <v>252</v>
      </c>
      <c r="E31" s="2" t="s">
        <v>253</v>
      </c>
    </row>
    <row r="34" spans="1:14" x14ac:dyDescent="0.3">
      <c r="A34" t="s">
        <v>313</v>
      </c>
      <c r="B34" s="2" t="s">
        <v>6</v>
      </c>
      <c r="D34" t="s">
        <v>316</v>
      </c>
      <c r="E34" s="2" t="s">
        <v>6</v>
      </c>
      <c r="G34" t="s">
        <v>322</v>
      </c>
      <c r="H34" s="2" t="s">
        <v>6</v>
      </c>
      <c r="J34" t="s">
        <v>323</v>
      </c>
      <c r="K34" t="s">
        <v>6</v>
      </c>
      <c r="M34" t="s">
        <v>325</v>
      </c>
      <c r="N34" t="s">
        <v>6</v>
      </c>
    </row>
    <row r="35" spans="1:14" x14ac:dyDescent="0.3">
      <c r="A35" t="s">
        <v>314</v>
      </c>
      <c r="B35" s="2">
        <v>0</v>
      </c>
      <c r="D35" t="s">
        <v>317</v>
      </c>
      <c r="E35" s="2">
        <v>0</v>
      </c>
      <c r="G35" t="s">
        <v>317</v>
      </c>
      <c r="H35" s="2">
        <v>0</v>
      </c>
      <c r="J35" t="s">
        <v>324</v>
      </c>
      <c r="K35" s="2">
        <v>0</v>
      </c>
      <c r="M35" t="s">
        <v>324</v>
      </c>
      <c r="N35" s="2">
        <v>0</v>
      </c>
    </row>
    <row r="36" spans="1:14" x14ac:dyDescent="0.3">
      <c r="A36" t="s">
        <v>315</v>
      </c>
      <c r="B36" s="2" t="s">
        <v>146</v>
      </c>
      <c r="D36" t="s">
        <v>318</v>
      </c>
      <c r="E36" s="2">
        <v>0</v>
      </c>
      <c r="G36" t="s">
        <v>318</v>
      </c>
      <c r="H36" s="2">
        <v>0</v>
      </c>
      <c r="K36" s="2"/>
    </row>
    <row r="37" spans="1:14" x14ac:dyDescent="0.3">
      <c r="D37" t="s">
        <v>319</v>
      </c>
      <c r="E37" s="2" t="s">
        <v>253</v>
      </c>
      <c r="G37" t="s">
        <v>319</v>
      </c>
      <c r="H37" s="2" t="s">
        <v>253</v>
      </c>
      <c r="K37" s="2"/>
    </row>
    <row r="38" spans="1:14" x14ac:dyDescent="0.3">
      <c r="D38" t="s">
        <v>321</v>
      </c>
      <c r="E38" s="2" t="s">
        <v>253</v>
      </c>
      <c r="G38" t="s">
        <v>321</v>
      </c>
      <c r="H38" s="2" t="s">
        <v>253</v>
      </c>
    </row>
    <row r="39" spans="1:14" x14ac:dyDescent="0.3">
      <c r="D39" t="s">
        <v>320</v>
      </c>
      <c r="E39" s="2" t="s">
        <v>253</v>
      </c>
      <c r="G39" t="s">
        <v>320</v>
      </c>
      <c r="H39" s="2" t="s">
        <v>253</v>
      </c>
    </row>
    <row r="40" spans="1:14" x14ac:dyDescent="0.3">
      <c r="D40" s="7" t="s">
        <v>315</v>
      </c>
      <c r="E40" s="2" t="s">
        <v>146</v>
      </c>
      <c r="G40" s="7" t="s">
        <v>315</v>
      </c>
      <c r="H40" s="2" t="s">
        <v>146</v>
      </c>
    </row>
    <row r="43" spans="1:14" x14ac:dyDescent="0.3">
      <c r="A43" t="s">
        <v>351</v>
      </c>
      <c r="B43" s="2" t="s">
        <v>6</v>
      </c>
    </row>
    <row r="44" spans="1:14" x14ac:dyDescent="0.3">
      <c r="A44" t="s">
        <v>352</v>
      </c>
      <c r="B44" s="2">
        <v>0</v>
      </c>
    </row>
    <row r="45" spans="1:14" x14ac:dyDescent="0.3">
      <c r="A45" t="s">
        <v>353</v>
      </c>
      <c r="B45" s="2">
        <v>0</v>
      </c>
    </row>
    <row r="46" spans="1:14" x14ac:dyDescent="0.3">
      <c r="A46" t="s">
        <v>354</v>
      </c>
      <c r="B46" s="2">
        <v>0</v>
      </c>
    </row>
    <row r="49" spans="1:29" x14ac:dyDescent="0.3">
      <c r="A49" t="s">
        <v>427</v>
      </c>
      <c r="B49" s="2" t="s">
        <v>6</v>
      </c>
      <c r="D49" t="s">
        <v>438</v>
      </c>
      <c r="E49" s="2" t="s">
        <v>6</v>
      </c>
      <c r="G49" t="s">
        <v>441</v>
      </c>
      <c r="H49" s="2" t="s">
        <v>6</v>
      </c>
      <c r="J49" t="s">
        <v>444</v>
      </c>
      <c r="K49" t="s">
        <v>6</v>
      </c>
    </row>
    <row r="50" spans="1:29" x14ac:dyDescent="0.3">
      <c r="A50" t="s">
        <v>428</v>
      </c>
      <c r="B50" s="2">
        <v>559</v>
      </c>
      <c r="D50" s="5" t="s">
        <v>428</v>
      </c>
      <c r="E50" s="24">
        <v>0</v>
      </c>
      <c r="G50" s="5" t="s">
        <v>428</v>
      </c>
      <c r="H50" s="24">
        <v>0</v>
      </c>
      <c r="J50" s="5" t="s">
        <v>428</v>
      </c>
      <c r="K50" s="6">
        <v>0</v>
      </c>
    </row>
    <row r="51" spans="1:29" x14ac:dyDescent="0.3">
      <c r="A51" t="s">
        <v>429</v>
      </c>
      <c r="B51" s="2">
        <v>559</v>
      </c>
      <c r="D51" s="5" t="s">
        <v>440</v>
      </c>
      <c r="E51" s="24">
        <v>0</v>
      </c>
      <c r="G51" s="5" t="s">
        <v>442</v>
      </c>
      <c r="H51" s="24">
        <v>0</v>
      </c>
      <c r="J51" s="5" t="s">
        <v>442</v>
      </c>
      <c r="K51" s="6">
        <v>0</v>
      </c>
    </row>
    <row r="52" spans="1:29" x14ac:dyDescent="0.3">
      <c r="A52" t="s">
        <v>430</v>
      </c>
      <c r="B52" s="2">
        <v>559</v>
      </c>
      <c r="D52" s="5" t="s">
        <v>430</v>
      </c>
      <c r="E52" s="24">
        <v>0</v>
      </c>
      <c r="G52" s="5" t="s">
        <v>430</v>
      </c>
      <c r="H52" s="24">
        <v>0</v>
      </c>
      <c r="J52" s="5" t="s">
        <v>430</v>
      </c>
      <c r="K52" s="6">
        <v>0</v>
      </c>
    </row>
    <row r="53" spans="1:29" x14ac:dyDescent="0.3">
      <c r="A53" t="s">
        <v>432</v>
      </c>
      <c r="B53" s="2">
        <v>0</v>
      </c>
      <c r="D53" s="5" t="s">
        <v>439</v>
      </c>
      <c r="E53" s="24">
        <v>0</v>
      </c>
      <c r="G53" s="5" t="s">
        <v>439</v>
      </c>
      <c r="H53" s="24">
        <v>0</v>
      </c>
      <c r="J53" s="5" t="s">
        <v>439</v>
      </c>
      <c r="K53" s="6">
        <v>0</v>
      </c>
    </row>
    <row r="54" spans="1:29" x14ac:dyDescent="0.3">
      <c r="A54" t="s">
        <v>433</v>
      </c>
      <c r="B54" s="2">
        <v>4948</v>
      </c>
      <c r="D54" s="5" t="s">
        <v>433</v>
      </c>
      <c r="E54" s="24">
        <v>4948</v>
      </c>
      <c r="G54" s="5" t="s">
        <v>443</v>
      </c>
      <c r="H54" s="24">
        <v>0</v>
      </c>
      <c r="J54" s="5" t="s">
        <v>443</v>
      </c>
      <c r="K54" s="6">
        <v>0</v>
      </c>
    </row>
    <row r="55" spans="1:29" x14ac:dyDescent="0.3">
      <c r="A55" t="s">
        <v>434</v>
      </c>
      <c r="B55" s="2" t="s">
        <v>388</v>
      </c>
      <c r="D55" s="5" t="s">
        <v>434</v>
      </c>
      <c r="E55" s="24" t="s">
        <v>388</v>
      </c>
      <c r="G55" s="5" t="s">
        <v>434</v>
      </c>
      <c r="H55" s="24">
        <v>0</v>
      </c>
      <c r="J55" s="5" t="s">
        <v>434</v>
      </c>
      <c r="K55" s="6">
        <v>0</v>
      </c>
    </row>
    <row r="56" spans="1:29" x14ac:dyDescent="0.3">
      <c r="A56" t="s">
        <v>435</v>
      </c>
      <c r="B56" s="2">
        <v>2605</v>
      </c>
      <c r="D56" s="5" t="s">
        <v>435</v>
      </c>
      <c r="E56" s="24">
        <v>2045</v>
      </c>
      <c r="G56" s="5" t="s">
        <v>435</v>
      </c>
      <c r="H56" s="24">
        <v>0</v>
      </c>
      <c r="J56" s="5" t="s">
        <v>435</v>
      </c>
      <c r="K56" s="6">
        <v>0</v>
      </c>
    </row>
    <row r="57" spans="1:29" x14ac:dyDescent="0.3">
      <c r="A57" t="s">
        <v>436</v>
      </c>
      <c r="B57" s="2">
        <v>2605</v>
      </c>
      <c r="D57" s="5" t="s">
        <v>436</v>
      </c>
      <c r="E57" s="24">
        <v>2045</v>
      </c>
      <c r="G57" s="5" t="s">
        <v>436</v>
      </c>
      <c r="H57" s="24">
        <v>0</v>
      </c>
      <c r="J57" s="5" t="s">
        <v>436</v>
      </c>
      <c r="K57" s="6">
        <v>0</v>
      </c>
    </row>
    <row r="58" spans="1:29" x14ac:dyDescent="0.3">
      <c r="A58" t="s">
        <v>437</v>
      </c>
      <c r="B58" s="2">
        <v>2605</v>
      </c>
      <c r="D58" s="7" t="s">
        <v>437</v>
      </c>
      <c r="E58" s="24">
        <v>2045</v>
      </c>
      <c r="G58" s="7" t="s">
        <v>437</v>
      </c>
      <c r="H58" s="24">
        <v>0</v>
      </c>
      <c r="J58" s="7" t="s">
        <v>437</v>
      </c>
      <c r="K58" s="6">
        <v>0</v>
      </c>
    </row>
    <row r="61" spans="1:29" x14ac:dyDescent="0.3">
      <c r="A61" t="s">
        <v>549</v>
      </c>
      <c r="B61" s="2" t="s">
        <v>6</v>
      </c>
      <c r="D61" t="s">
        <v>556</v>
      </c>
      <c r="E61" s="2" t="s">
        <v>6</v>
      </c>
      <c r="G61" t="s">
        <v>557</v>
      </c>
      <c r="H61" s="2" t="s">
        <v>6</v>
      </c>
      <c r="J61" t="s">
        <v>558</v>
      </c>
      <c r="K61" t="s">
        <v>6</v>
      </c>
      <c r="M61" t="s">
        <v>559</v>
      </c>
      <c r="N61" t="s">
        <v>6</v>
      </c>
      <c r="P61" t="s">
        <v>560</v>
      </c>
      <c r="Q61" t="s">
        <v>6</v>
      </c>
      <c r="S61" t="s">
        <v>561</v>
      </c>
      <c r="T61" t="s">
        <v>6</v>
      </c>
      <c r="V61" t="s">
        <v>562</v>
      </c>
      <c r="W61" t="s">
        <v>6</v>
      </c>
      <c r="Y61" t="s">
        <v>563</v>
      </c>
      <c r="Z61" t="s">
        <v>6</v>
      </c>
      <c r="AB61" t="s">
        <v>566</v>
      </c>
      <c r="AC61" t="s">
        <v>6</v>
      </c>
    </row>
    <row r="62" spans="1:29" x14ac:dyDescent="0.3">
      <c r="A62" t="s">
        <v>550</v>
      </c>
      <c r="B62" s="2">
        <v>1748</v>
      </c>
      <c r="D62" t="s">
        <v>550</v>
      </c>
      <c r="E62" s="2">
        <v>1748</v>
      </c>
      <c r="G62" t="s">
        <v>550</v>
      </c>
      <c r="H62" s="2">
        <v>1748</v>
      </c>
      <c r="J62" t="s">
        <v>550</v>
      </c>
      <c r="K62" s="2">
        <v>1748</v>
      </c>
      <c r="M62" t="s">
        <v>550</v>
      </c>
      <c r="N62" s="2">
        <v>1224</v>
      </c>
      <c r="P62" t="s">
        <v>550</v>
      </c>
      <c r="Q62" s="2">
        <v>1224</v>
      </c>
      <c r="S62" t="s">
        <v>550</v>
      </c>
      <c r="T62" s="2">
        <v>1224</v>
      </c>
      <c r="V62" t="s">
        <v>550</v>
      </c>
      <c r="W62" s="2">
        <v>1224</v>
      </c>
      <c r="Y62" t="s">
        <v>550</v>
      </c>
      <c r="Z62" s="2">
        <v>350</v>
      </c>
      <c r="AB62" t="s">
        <v>550</v>
      </c>
      <c r="AC62" s="2">
        <v>350</v>
      </c>
    </row>
    <row r="63" spans="1:29" x14ac:dyDescent="0.3">
      <c r="A63" s="5" t="s">
        <v>564</v>
      </c>
      <c r="B63" s="2">
        <v>664</v>
      </c>
      <c r="D63" s="5" t="s">
        <v>564</v>
      </c>
      <c r="E63" s="2">
        <v>664</v>
      </c>
      <c r="G63" s="5" t="s">
        <v>564</v>
      </c>
      <c r="H63" s="2">
        <v>664</v>
      </c>
      <c r="J63" s="5" t="s">
        <v>564</v>
      </c>
      <c r="K63" s="2">
        <v>664</v>
      </c>
      <c r="M63" s="5" t="s">
        <v>564</v>
      </c>
      <c r="N63" s="2">
        <v>664</v>
      </c>
      <c r="P63" s="5" t="s">
        <v>564</v>
      </c>
      <c r="Q63" s="2">
        <v>664</v>
      </c>
      <c r="S63" s="5" t="s">
        <v>565</v>
      </c>
      <c r="T63" s="2">
        <v>0</v>
      </c>
      <c r="V63" s="5" t="s">
        <v>565</v>
      </c>
      <c r="W63" s="2">
        <v>0</v>
      </c>
      <c r="Y63" s="5" t="s">
        <v>564</v>
      </c>
      <c r="Z63" s="2">
        <v>0</v>
      </c>
      <c r="AB63" s="5" t="s">
        <v>565</v>
      </c>
      <c r="AC63" s="2">
        <v>0</v>
      </c>
    </row>
    <row r="64" spans="1:29" x14ac:dyDescent="0.3">
      <c r="A64" s="5" t="s">
        <v>429</v>
      </c>
      <c r="B64" s="2">
        <v>664</v>
      </c>
      <c r="D64" s="5" t="s">
        <v>429</v>
      </c>
      <c r="E64" s="2">
        <v>664</v>
      </c>
      <c r="G64" s="5" t="s">
        <v>429</v>
      </c>
      <c r="H64" s="2">
        <v>664</v>
      </c>
      <c r="J64" s="5" t="s">
        <v>429</v>
      </c>
      <c r="K64" s="2">
        <v>664</v>
      </c>
      <c r="M64" s="5" t="s">
        <v>440</v>
      </c>
      <c r="N64" s="2">
        <v>0</v>
      </c>
      <c r="P64" s="5" t="s">
        <v>440</v>
      </c>
      <c r="Q64" s="2">
        <v>0</v>
      </c>
      <c r="S64" s="5" t="s">
        <v>442</v>
      </c>
      <c r="T64" s="2">
        <v>0</v>
      </c>
      <c r="V64" s="5" t="s">
        <v>442</v>
      </c>
      <c r="W64" s="2">
        <v>0</v>
      </c>
      <c r="Y64" s="5" t="s">
        <v>440</v>
      </c>
      <c r="Z64" s="2">
        <v>0</v>
      </c>
      <c r="AB64" s="5" t="s">
        <v>429</v>
      </c>
      <c r="AC64" s="2">
        <v>0</v>
      </c>
    </row>
    <row r="65" spans="1:29" x14ac:dyDescent="0.3">
      <c r="A65" s="21" t="s">
        <v>555</v>
      </c>
      <c r="B65" s="2">
        <v>0</v>
      </c>
      <c r="D65" s="21" t="s">
        <v>555</v>
      </c>
      <c r="E65" s="2">
        <v>0</v>
      </c>
      <c r="G65" s="21" t="s">
        <v>555</v>
      </c>
      <c r="H65" s="2">
        <v>0</v>
      </c>
      <c r="J65" s="21" t="s">
        <v>555</v>
      </c>
      <c r="K65" s="2">
        <v>0</v>
      </c>
      <c r="M65" s="21" t="s">
        <v>552</v>
      </c>
      <c r="N65" s="2">
        <v>1608</v>
      </c>
      <c r="P65" s="21" t="s">
        <v>552</v>
      </c>
      <c r="Q65" s="2">
        <v>1608</v>
      </c>
      <c r="S65" s="21" t="s">
        <v>552</v>
      </c>
      <c r="T65" s="2">
        <v>1608</v>
      </c>
      <c r="V65" s="21" t="s">
        <v>552</v>
      </c>
      <c r="W65" s="2">
        <v>1608</v>
      </c>
      <c r="Y65" s="21" t="s">
        <v>552</v>
      </c>
      <c r="Z65" s="2">
        <v>490</v>
      </c>
      <c r="AB65" s="21" t="s">
        <v>551</v>
      </c>
      <c r="AC65" s="2">
        <v>0</v>
      </c>
    </row>
    <row r="66" spans="1:29" x14ac:dyDescent="0.3">
      <c r="A66" s="21" t="s">
        <v>552</v>
      </c>
      <c r="B66" s="2">
        <v>2308</v>
      </c>
      <c r="D66" s="21" t="s">
        <v>552</v>
      </c>
      <c r="E66" s="2">
        <v>2308</v>
      </c>
      <c r="G66" s="21" t="s">
        <v>552</v>
      </c>
      <c r="H66" s="2">
        <v>2308</v>
      </c>
      <c r="J66" s="21" t="s">
        <v>552</v>
      </c>
      <c r="K66" s="2">
        <v>2308</v>
      </c>
      <c r="M66" s="21" t="s">
        <v>553</v>
      </c>
      <c r="N66" s="2">
        <v>5507</v>
      </c>
      <c r="P66" s="21" t="s">
        <v>553</v>
      </c>
      <c r="Q66" s="2">
        <v>5507</v>
      </c>
      <c r="S66" s="21" t="s">
        <v>553</v>
      </c>
      <c r="T66" s="2">
        <v>5507</v>
      </c>
      <c r="V66" s="21" t="s">
        <v>553</v>
      </c>
      <c r="W66" s="2">
        <v>5507</v>
      </c>
      <c r="Y66" s="21" t="s">
        <v>553</v>
      </c>
      <c r="Z66" s="2">
        <v>4493</v>
      </c>
      <c r="AB66" s="21" t="s">
        <v>552</v>
      </c>
      <c r="AC66" s="2">
        <v>490</v>
      </c>
    </row>
    <row r="67" spans="1:29" x14ac:dyDescent="0.3">
      <c r="A67" s="21" t="s">
        <v>553</v>
      </c>
      <c r="B67" s="2">
        <v>6206</v>
      </c>
      <c r="D67" s="21" t="s">
        <v>553</v>
      </c>
      <c r="E67" s="2">
        <v>6206</v>
      </c>
      <c r="G67" s="21" t="s">
        <v>553</v>
      </c>
      <c r="H67" s="2">
        <v>6206</v>
      </c>
      <c r="J67" s="21" t="s">
        <v>553</v>
      </c>
      <c r="K67" s="2">
        <v>6206</v>
      </c>
      <c r="M67" s="21" t="s">
        <v>554</v>
      </c>
      <c r="N67" s="2">
        <v>2885</v>
      </c>
      <c r="P67" s="21" t="s">
        <v>554</v>
      </c>
      <c r="Q67" s="2">
        <v>2885</v>
      </c>
      <c r="S67" s="21" t="s">
        <v>554</v>
      </c>
      <c r="T67" s="2">
        <v>2885</v>
      </c>
      <c r="V67" s="21" t="s">
        <v>554</v>
      </c>
      <c r="W67" s="2">
        <v>2885</v>
      </c>
      <c r="Y67" s="21" t="s">
        <v>554</v>
      </c>
      <c r="Z67" s="2">
        <v>2885</v>
      </c>
      <c r="AB67" s="21" t="s">
        <v>553</v>
      </c>
      <c r="AC67" s="2">
        <v>4493</v>
      </c>
    </row>
    <row r="68" spans="1:29" x14ac:dyDescent="0.3">
      <c r="A68" s="21" t="s">
        <v>554</v>
      </c>
      <c r="B68" s="2">
        <v>2885</v>
      </c>
      <c r="D68" s="21" t="s">
        <v>554</v>
      </c>
      <c r="E68" s="2">
        <v>2885</v>
      </c>
      <c r="G68" s="21" t="s">
        <v>554</v>
      </c>
      <c r="H68" s="2">
        <v>2885</v>
      </c>
      <c r="J68" s="21" t="s">
        <v>554</v>
      </c>
      <c r="K68" s="2">
        <v>2885</v>
      </c>
      <c r="AB68" s="21" t="s">
        <v>554</v>
      </c>
      <c r="AC68" s="2">
        <v>2885</v>
      </c>
    </row>
    <row r="71" spans="1:29" x14ac:dyDescent="0.3">
      <c r="A71" t="s">
        <v>559</v>
      </c>
      <c r="B71" s="2" t="s">
        <v>6</v>
      </c>
      <c r="D71" t="s">
        <v>561</v>
      </c>
      <c r="E71" s="2" t="s">
        <v>6</v>
      </c>
      <c r="G71" t="s">
        <v>625</v>
      </c>
      <c r="H71" s="2" t="s">
        <v>6</v>
      </c>
    </row>
    <row r="72" spans="1:29" x14ac:dyDescent="0.3">
      <c r="A72" s="5" t="s">
        <v>564</v>
      </c>
      <c r="B72" s="24">
        <v>664</v>
      </c>
      <c r="D72" s="5" t="s">
        <v>565</v>
      </c>
      <c r="E72" s="24">
        <v>0</v>
      </c>
      <c r="G72" s="5" t="s">
        <v>565</v>
      </c>
      <c r="H72" s="24">
        <v>0</v>
      </c>
    </row>
    <row r="73" spans="1:29" x14ac:dyDescent="0.3">
      <c r="A73" s="5" t="s">
        <v>440</v>
      </c>
      <c r="B73" s="24">
        <v>0</v>
      </c>
      <c r="D73" s="5" t="s">
        <v>442</v>
      </c>
      <c r="E73" s="24">
        <v>0</v>
      </c>
      <c r="G73" s="5" t="s">
        <v>442</v>
      </c>
      <c r="H73" s="24">
        <v>0</v>
      </c>
    </row>
    <row r="74" spans="1:29" x14ac:dyDescent="0.3">
      <c r="A74" s="5" t="s">
        <v>552</v>
      </c>
      <c r="B74" s="24">
        <v>1189</v>
      </c>
      <c r="D74" s="5" t="s">
        <v>552</v>
      </c>
      <c r="E74" s="24">
        <v>490</v>
      </c>
      <c r="G74" s="5" t="s">
        <v>552</v>
      </c>
      <c r="H74" s="24">
        <v>490</v>
      </c>
    </row>
    <row r="75" spans="1:29" x14ac:dyDescent="0.3">
      <c r="A75" s="5" t="s">
        <v>553</v>
      </c>
      <c r="B75" s="24">
        <v>6206</v>
      </c>
      <c r="D75" s="5" t="s">
        <v>553</v>
      </c>
      <c r="E75" s="24">
        <v>5507</v>
      </c>
      <c r="G75" s="5" t="s">
        <v>553</v>
      </c>
      <c r="H75" s="24">
        <v>5507</v>
      </c>
    </row>
    <row r="76" spans="1:29" x14ac:dyDescent="0.3">
      <c r="A76" s="5" t="s">
        <v>554</v>
      </c>
      <c r="B76" s="24">
        <v>2570</v>
      </c>
      <c r="D76" s="5" t="s">
        <v>554</v>
      </c>
      <c r="E76" s="24">
        <v>1871</v>
      </c>
      <c r="G76" s="5" t="s">
        <v>554</v>
      </c>
      <c r="H76" s="24">
        <v>1871</v>
      </c>
    </row>
    <row r="79" spans="1:29" x14ac:dyDescent="0.3">
      <c r="A79" t="s">
        <v>680</v>
      </c>
      <c r="B79" s="2" t="s">
        <v>6</v>
      </c>
      <c r="D79" t="s">
        <v>679</v>
      </c>
      <c r="E79" s="2" t="s">
        <v>6</v>
      </c>
      <c r="G79" t="s">
        <v>681</v>
      </c>
      <c r="H79" s="2" t="s">
        <v>6</v>
      </c>
      <c r="J79" t="s">
        <v>682</v>
      </c>
      <c r="K79" t="s">
        <v>6</v>
      </c>
    </row>
    <row r="80" spans="1:29" x14ac:dyDescent="0.3">
      <c r="A80" s="5" t="s">
        <v>436</v>
      </c>
      <c r="B80" s="2">
        <v>1888</v>
      </c>
      <c r="D80" s="5" t="s">
        <v>551</v>
      </c>
      <c r="E80" s="2">
        <v>0</v>
      </c>
      <c r="G80" s="5" t="s">
        <v>677</v>
      </c>
      <c r="H80" s="2">
        <v>0</v>
      </c>
      <c r="J80" s="5" t="s">
        <v>436</v>
      </c>
      <c r="K80" s="2">
        <v>1888</v>
      </c>
    </row>
    <row r="81" spans="1:11" x14ac:dyDescent="0.3">
      <c r="A81" s="5" t="s">
        <v>551</v>
      </c>
      <c r="B81" s="2">
        <v>0</v>
      </c>
      <c r="D81" s="5" t="s">
        <v>677</v>
      </c>
      <c r="E81" s="2">
        <v>0</v>
      </c>
      <c r="G81" s="5" t="s">
        <v>431</v>
      </c>
      <c r="H81" s="2">
        <v>0</v>
      </c>
      <c r="J81" s="5" t="s">
        <v>677</v>
      </c>
      <c r="K81" s="2">
        <v>0</v>
      </c>
    </row>
    <row r="82" spans="1:11" x14ac:dyDescent="0.3">
      <c r="A82" s="5" t="s">
        <v>677</v>
      </c>
      <c r="B82" s="2">
        <v>0</v>
      </c>
      <c r="D82" s="5" t="s">
        <v>431</v>
      </c>
      <c r="E82" s="2">
        <v>0</v>
      </c>
      <c r="G82" s="21" t="s">
        <v>678</v>
      </c>
      <c r="H82" s="2">
        <v>0</v>
      </c>
      <c r="J82" s="5" t="s">
        <v>431</v>
      </c>
      <c r="K82" s="2">
        <v>0</v>
      </c>
    </row>
    <row r="83" spans="1:11" x14ac:dyDescent="0.3">
      <c r="A83" s="5" t="s">
        <v>431</v>
      </c>
      <c r="B83" s="2">
        <v>0</v>
      </c>
      <c r="D83" s="21" t="s">
        <v>678</v>
      </c>
      <c r="E83" s="2">
        <v>0</v>
      </c>
      <c r="G83" s="5" t="s">
        <v>442</v>
      </c>
      <c r="H83" s="2">
        <v>0</v>
      </c>
      <c r="J83" s="21" t="s">
        <v>678</v>
      </c>
      <c r="K83" s="2">
        <v>0</v>
      </c>
    </row>
    <row r="84" spans="1:11" x14ac:dyDescent="0.3">
      <c r="A84" s="21" t="s">
        <v>678</v>
      </c>
      <c r="B84" s="2">
        <v>0</v>
      </c>
      <c r="D84" s="5" t="s">
        <v>442</v>
      </c>
      <c r="E84" s="2">
        <v>0</v>
      </c>
      <c r="J84" s="5" t="s">
        <v>442</v>
      </c>
      <c r="K84" s="2">
        <v>0</v>
      </c>
    </row>
    <row r="85" spans="1:11" x14ac:dyDescent="0.3">
      <c r="A85" s="5" t="s">
        <v>442</v>
      </c>
      <c r="B85" s="2">
        <v>0</v>
      </c>
    </row>
    <row r="88" spans="1:11" x14ac:dyDescent="0.3">
      <c r="A88" t="s">
        <v>750</v>
      </c>
      <c r="B88" s="2" t="s">
        <v>6</v>
      </c>
      <c r="D88" t="s">
        <v>755</v>
      </c>
      <c r="E88" s="2" t="s">
        <v>6</v>
      </c>
    </row>
    <row r="89" spans="1:11" x14ac:dyDescent="0.3">
      <c r="A89" s="5" t="s">
        <v>752</v>
      </c>
      <c r="B89" s="2">
        <v>0</v>
      </c>
      <c r="D89" t="s">
        <v>756</v>
      </c>
      <c r="E89" s="2">
        <v>4825</v>
      </c>
    </row>
    <row r="90" spans="1:11" x14ac:dyDescent="0.3">
      <c r="A90" t="s">
        <v>753</v>
      </c>
      <c r="B90" s="2">
        <v>0</v>
      </c>
      <c r="D90" s="5" t="s">
        <v>752</v>
      </c>
      <c r="E90" s="2">
        <v>0</v>
      </c>
    </row>
    <row r="91" spans="1:11" x14ac:dyDescent="0.3">
      <c r="A91" t="s">
        <v>754</v>
      </c>
      <c r="B91" s="2">
        <v>0</v>
      </c>
      <c r="D91" s="21" t="s">
        <v>757</v>
      </c>
      <c r="E91" s="2">
        <v>3077</v>
      </c>
    </row>
    <row r="92" spans="1:11" x14ac:dyDescent="0.3">
      <c r="D92" s="21" t="s">
        <v>758</v>
      </c>
      <c r="E92" s="2">
        <v>3077</v>
      </c>
    </row>
    <row r="93" spans="1:11" x14ac:dyDescent="0.3">
      <c r="D93" s="21" t="s">
        <v>759</v>
      </c>
      <c r="E93" s="2">
        <v>3077</v>
      </c>
    </row>
    <row r="96" spans="1:11" x14ac:dyDescent="0.3">
      <c r="A96" t="s">
        <v>854</v>
      </c>
      <c r="B96" s="2" t="s">
        <v>6</v>
      </c>
    </row>
    <row r="97" spans="1:8" x14ac:dyDescent="0.3">
      <c r="A97" s="7" t="s">
        <v>442</v>
      </c>
      <c r="B97" s="2">
        <v>0</v>
      </c>
    </row>
    <row r="98" spans="1:8" x14ac:dyDescent="0.3">
      <c r="A98" s="5" t="s">
        <v>752</v>
      </c>
      <c r="B98" s="2">
        <v>0</v>
      </c>
    </row>
    <row r="99" spans="1:8" x14ac:dyDescent="0.3">
      <c r="A99" s="21" t="s">
        <v>824</v>
      </c>
      <c r="B99" s="2">
        <v>552</v>
      </c>
    </row>
    <row r="100" spans="1:8" x14ac:dyDescent="0.3">
      <c r="A100" s="21" t="s">
        <v>825</v>
      </c>
      <c r="B100" s="2">
        <v>0</v>
      </c>
    </row>
    <row r="101" spans="1:8" x14ac:dyDescent="0.3">
      <c r="A101" s="7" t="s">
        <v>826</v>
      </c>
      <c r="B101" s="2">
        <v>552</v>
      </c>
    </row>
    <row r="102" spans="1:8" x14ac:dyDescent="0.3">
      <c r="A102" s="5" t="s">
        <v>60</v>
      </c>
      <c r="B102" s="2">
        <v>4825</v>
      </c>
    </row>
    <row r="105" spans="1:8" x14ac:dyDescent="0.3">
      <c r="A105" t="s">
        <v>902</v>
      </c>
      <c r="B105" s="2" t="s">
        <v>6</v>
      </c>
      <c r="D105" t="s">
        <v>904</v>
      </c>
      <c r="E105" s="2" t="s">
        <v>6</v>
      </c>
      <c r="G105" t="s">
        <v>906</v>
      </c>
      <c r="H105" s="2" t="s">
        <v>6</v>
      </c>
    </row>
    <row r="106" spans="1:8" x14ac:dyDescent="0.3">
      <c r="A106" s="5" t="s">
        <v>903</v>
      </c>
      <c r="B106" s="2">
        <v>0</v>
      </c>
      <c r="D106" s="5" t="s">
        <v>903</v>
      </c>
      <c r="E106" s="6">
        <v>0</v>
      </c>
      <c r="G106" s="7" t="s">
        <v>752</v>
      </c>
      <c r="H106" s="2">
        <v>0</v>
      </c>
    </row>
    <row r="107" spans="1:8" x14ac:dyDescent="0.3">
      <c r="A107" t="s">
        <v>751</v>
      </c>
      <c r="B107" s="2" t="s">
        <v>388</v>
      </c>
      <c r="D107" s="7" t="s">
        <v>751</v>
      </c>
      <c r="E107" s="8" t="s">
        <v>388</v>
      </c>
      <c r="G107" s="5" t="s">
        <v>756</v>
      </c>
      <c r="H107" s="2">
        <v>1042</v>
      </c>
    </row>
    <row r="108" spans="1:8" x14ac:dyDescent="0.3">
      <c r="D108" s="5" t="s">
        <v>678</v>
      </c>
      <c r="E108" s="2" t="s">
        <v>253</v>
      </c>
      <c r="G108" s="21" t="s">
        <v>907</v>
      </c>
      <c r="H108" s="2" t="s">
        <v>908</v>
      </c>
    </row>
    <row r="109" spans="1:8" x14ac:dyDescent="0.3">
      <c r="D109" s="21" t="s">
        <v>905</v>
      </c>
      <c r="E109" s="2" t="s">
        <v>253</v>
      </c>
    </row>
    <row r="112" spans="1:8" x14ac:dyDescent="0.3">
      <c r="A112" t="s">
        <v>954</v>
      </c>
      <c r="B112" s="2" t="s">
        <v>6</v>
      </c>
      <c r="D112" t="s">
        <v>958</v>
      </c>
      <c r="E112" s="2" t="s">
        <v>6</v>
      </c>
      <c r="G112" t="s">
        <v>963</v>
      </c>
      <c r="H112" s="2" t="s">
        <v>6</v>
      </c>
    </row>
    <row r="113" spans="1:8" x14ac:dyDescent="0.3">
      <c r="A113" t="s">
        <v>955</v>
      </c>
      <c r="B113" s="2">
        <v>0</v>
      </c>
      <c r="D113" s="5" t="s">
        <v>959</v>
      </c>
      <c r="E113" s="2">
        <v>0</v>
      </c>
      <c r="G113" s="5" t="s">
        <v>959</v>
      </c>
      <c r="H113" s="2">
        <v>0</v>
      </c>
    </row>
    <row r="114" spans="1:8" x14ac:dyDescent="0.3">
      <c r="A114" t="s">
        <v>956</v>
      </c>
      <c r="B114" s="2" t="s">
        <v>388</v>
      </c>
      <c r="D114" t="s">
        <v>960</v>
      </c>
      <c r="E114" s="2" t="s">
        <v>961</v>
      </c>
      <c r="G114" s="7" t="s">
        <v>957</v>
      </c>
      <c r="H114" s="2" t="s">
        <v>388</v>
      </c>
    </row>
    <row r="115" spans="1:8" x14ac:dyDescent="0.3">
      <c r="A115" t="s">
        <v>957</v>
      </c>
      <c r="B115" s="2" t="s">
        <v>388</v>
      </c>
      <c r="D115" s="7" t="s">
        <v>957</v>
      </c>
      <c r="E115" s="2" t="s">
        <v>962</v>
      </c>
    </row>
  </sheetData>
  <pageMargins left="0.7" right="0.7" top="0.75" bottom="0.75" header="0.3" footer="0.3"/>
  <pageSetup paperSize="9" orientation="portrait" r:id="rId1"/>
  <tableParts count="50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  <tablePart r:id="rId43"/>
    <tablePart r:id="rId44"/>
    <tablePart r:id="rId45"/>
    <tablePart r:id="rId46"/>
    <tablePart r:id="rId47"/>
    <tablePart r:id="rId48"/>
    <tablePart r:id="rId49"/>
    <tablePart r:id="rId50"/>
    <tablePart r:id="rId5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Q10"/>
  <sheetViews>
    <sheetView workbookViewId="0">
      <selection activeCell="D22" sqref="D22"/>
    </sheetView>
  </sheetViews>
  <sheetFormatPr defaultRowHeight="14.4" x14ac:dyDescent="0.3"/>
  <cols>
    <col min="1" max="1" width="51.88671875" bestFit="1" customWidth="1"/>
    <col min="2" max="2" width="10.44140625" bestFit="1" customWidth="1"/>
    <col min="4" max="4" width="51.88671875" bestFit="1" customWidth="1"/>
    <col min="5" max="5" width="10.44140625" bestFit="1" customWidth="1"/>
    <col min="7" max="7" width="51.88671875" bestFit="1" customWidth="1"/>
    <col min="8" max="8" width="10.44140625" bestFit="1" customWidth="1"/>
    <col min="10" max="10" width="51.88671875" bestFit="1" customWidth="1"/>
    <col min="11" max="11" width="10.44140625" bestFit="1" customWidth="1"/>
    <col min="13" max="13" width="51.88671875" bestFit="1" customWidth="1"/>
    <col min="14" max="14" width="10.44140625" bestFit="1" customWidth="1"/>
    <col min="16" max="16" width="51.88671875" bestFit="1" customWidth="1"/>
    <col min="17" max="17" width="10.44140625" bestFit="1" customWidth="1"/>
  </cols>
  <sheetData>
    <row r="1" spans="1:17" x14ac:dyDescent="0.3">
      <c r="A1" t="s">
        <v>608</v>
      </c>
      <c r="B1" t="s">
        <v>6</v>
      </c>
      <c r="D1" t="s">
        <v>609</v>
      </c>
      <c r="E1" t="s">
        <v>6</v>
      </c>
    </row>
    <row r="2" spans="1:17" x14ac:dyDescent="0.3">
      <c r="A2" t="s">
        <v>605</v>
      </c>
      <c r="B2" s="2">
        <v>2622</v>
      </c>
      <c r="D2" t="s">
        <v>610</v>
      </c>
      <c r="E2" s="2">
        <v>0</v>
      </c>
      <c r="H2" s="2"/>
      <c r="K2" s="2"/>
      <c r="N2" s="2"/>
      <c r="Q2" s="2"/>
    </row>
    <row r="3" spans="1:17" x14ac:dyDescent="0.3">
      <c r="A3" t="s">
        <v>606</v>
      </c>
      <c r="B3" s="2">
        <v>2622</v>
      </c>
      <c r="D3" t="s">
        <v>611</v>
      </c>
      <c r="E3" s="2">
        <v>0</v>
      </c>
      <c r="H3" s="2"/>
      <c r="K3" s="2"/>
      <c r="N3" s="2"/>
      <c r="Q3" s="2"/>
    </row>
    <row r="4" spans="1:17" x14ac:dyDescent="0.3">
      <c r="A4" t="s">
        <v>607</v>
      </c>
      <c r="B4" s="2">
        <v>2622</v>
      </c>
      <c r="D4" t="s">
        <v>612</v>
      </c>
      <c r="E4" s="2">
        <v>0</v>
      </c>
      <c r="H4" s="2"/>
      <c r="K4" s="2"/>
      <c r="N4" s="2"/>
      <c r="Q4" s="2"/>
    </row>
    <row r="7" spans="1:17" x14ac:dyDescent="0.3">
      <c r="A7" t="s">
        <v>633</v>
      </c>
      <c r="B7" t="s">
        <v>6</v>
      </c>
      <c r="D7" t="s">
        <v>634</v>
      </c>
      <c r="E7" t="s">
        <v>6</v>
      </c>
      <c r="G7" t="s">
        <v>635</v>
      </c>
      <c r="H7" t="s">
        <v>6</v>
      </c>
    </row>
    <row r="8" spans="1:17" x14ac:dyDescent="0.3">
      <c r="A8" s="5" t="s">
        <v>605</v>
      </c>
      <c r="B8" s="6">
        <v>2622</v>
      </c>
      <c r="D8" s="5" t="s">
        <v>605</v>
      </c>
      <c r="E8" s="6">
        <v>2622</v>
      </c>
      <c r="G8" t="s">
        <v>610</v>
      </c>
      <c r="H8" s="2">
        <v>0</v>
      </c>
    </row>
    <row r="9" spans="1:17" x14ac:dyDescent="0.3">
      <c r="A9" s="5" t="s">
        <v>606</v>
      </c>
      <c r="B9" s="6">
        <v>2622</v>
      </c>
      <c r="D9" s="5" t="s">
        <v>606</v>
      </c>
      <c r="E9" s="6">
        <v>2622</v>
      </c>
      <c r="G9" t="s">
        <v>611</v>
      </c>
      <c r="H9" s="2">
        <v>0</v>
      </c>
    </row>
    <row r="10" spans="1:17" x14ac:dyDescent="0.3">
      <c r="A10" s="5" t="s">
        <v>607</v>
      </c>
      <c r="B10" s="6">
        <v>2622</v>
      </c>
      <c r="D10" s="5" t="s">
        <v>607</v>
      </c>
      <c r="E10" s="6">
        <v>2622</v>
      </c>
      <c r="G10" t="s">
        <v>612</v>
      </c>
      <c r="H10" s="2">
        <v>0</v>
      </c>
    </row>
  </sheetData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C172"/>
  <sheetViews>
    <sheetView topLeftCell="A25" workbookViewId="0">
      <selection activeCell="G164" sqref="G164:H166"/>
    </sheetView>
  </sheetViews>
  <sheetFormatPr defaultRowHeight="14.4" x14ac:dyDescent="0.3"/>
  <cols>
    <col min="1" max="1" width="63.5546875" bestFit="1" customWidth="1"/>
    <col min="2" max="2" width="18.44140625" style="2" customWidth="1"/>
    <col min="4" max="4" width="64.109375" bestFit="1" customWidth="1"/>
    <col min="5" max="5" width="17.109375" style="2" bestFit="1" customWidth="1"/>
    <col min="7" max="7" width="64.109375" bestFit="1" customWidth="1"/>
    <col min="8" max="8" width="17.109375" style="2" bestFit="1" customWidth="1"/>
    <col min="10" max="10" width="61.44140625" bestFit="1" customWidth="1"/>
    <col min="11" max="11" width="17.109375" bestFit="1" customWidth="1"/>
    <col min="13" max="13" width="61.44140625" bestFit="1" customWidth="1"/>
    <col min="14" max="14" width="14" bestFit="1" customWidth="1"/>
    <col min="16" max="16" width="61.44140625" bestFit="1" customWidth="1"/>
    <col min="17" max="17" width="14" bestFit="1" customWidth="1"/>
    <col min="19" max="19" width="61.44140625" bestFit="1" customWidth="1"/>
    <col min="20" max="20" width="14" bestFit="1" customWidth="1"/>
    <col min="22" max="22" width="61.44140625" bestFit="1" customWidth="1"/>
    <col min="23" max="23" width="14.44140625" bestFit="1" customWidth="1"/>
    <col min="25" max="25" width="61.44140625" bestFit="1" customWidth="1"/>
    <col min="26" max="26" width="14.44140625" bestFit="1" customWidth="1"/>
    <col min="28" max="28" width="61.44140625" bestFit="1" customWidth="1"/>
    <col min="29" max="29" width="14.44140625" bestFit="1" customWidth="1"/>
  </cols>
  <sheetData>
    <row r="1" spans="1:11" x14ac:dyDescent="0.3">
      <c r="A1" t="s">
        <v>71</v>
      </c>
      <c r="B1" s="2" t="s">
        <v>6</v>
      </c>
      <c r="D1" t="s">
        <v>89</v>
      </c>
      <c r="E1" s="2" t="s">
        <v>6</v>
      </c>
      <c r="G1" t="s">
        <v>98</v>
      </c>
      <c r="H1" s="2" t="s">
        <v>6</v>
      </c>
      <c r="J1" t="s">
        <v>108</v>
      </c>
      <c r="K1" t="s">
        <v>6</v>
      </c>
    </row>
    <row r="2" spans="1:11" x14ac:dyDescent="0.3">
      <c r="A2" t="s">
        <v>72</v>
      </c>
      <c r="B2" s="2">
        <v>0</v>
      </c>
      <c r="D2" t="s">
        <v>72</v>
      </c>
      <c r="E2" s="2">
        <v>0</v>
      </c>
      <c r="G2" t="s">
        <v>72</v>
      </c>
      <c r="H2" s="2">
        <v>0</v>
      </c>
      <c r="J2" s="5" t="s">
        <v>75</v>
      </c>
      <c r="K2" s="2">
        <v>1399</v>
      </c>
    </row>
    <row r="3" spans="1:11" x14ac:dyDescent="0.3">
      <c r="A3" t="s">
        <v>73</v>
      </c>
      <c r="B3" s="2">
        <v>0</v>
      </c>
      <c r="D3" t="s">
        <v>73</v>
      </c>
      <c r="E3" s="2">
        <v>0</v>
      </c>
      <c r="G3" t="s">
        <v>73</v>
      </c>
      <c r="H3" s="2">
        <v>0</v>
      </c>
      <c r="J3" s="7" t="s">
        <v>76</v>
      </c>
      <c r="K3" s="2">
        <v>0</v>
      </c>
    </row>
    <row r="4" spans="1:11" x14ac:dyDescent="0.3">
      <c r="A4" t="s">
        <v>74</v>
      </c>
      <c r="B4" s="2">
        <v>0</v>
      </c>
      <c r="D4" t="s">
        <v>74</v>
      </c>
      <c r="E4" s="2">
        <v>0</v>
      </c>
      <c r="G4" t="s">
        <v>74</v>
      </c>
      <c r="H4" s="2">
        <v>0</v>
      </c>
    </row>
    <row r="5" spans="1:11" x14ac:dyDescent="0.3">
      <c r="A5" t="s">
        <v>75</v>
      </c>
      <c r="B5" s="2">
        <v>2727</v>
      </c>
      <c r="D5" t="s">
        <v>75</v>
      </c>
      <c r="E5" s="2">
        <v>2727</v>
      </c>
      <c r="G5" t="s">
        <v>75</v>
      </c>
      <c r="H5" s="2">
        <v>2727</v>
      </c>
    </row>
    <row r="6" spans="1:11" x14ac:dyDescent="0.3">
      <c r="A6" t="s">
        <v>76</v>
      </c>
      <c r="B6" s="2">
        <v>1363</v>
      </c>
      <c r="D6" t="s">
        <v>76</v>
      </c>
      <c r="E6" s="2">
        <v>1363</v>
      </c>
      <c r="G6" t="s">
        <v>76</v>
      </c>
      <c r="H6" s="2">
        <v>1363</v>
      </c>
    </row>
    <row r="9" spans="1:11" x14ac:dyDescent="0.3">
      <c r="A9" t="s">
        <v>141</v>
      </c>
      <c r="B9" s="2" t="s">
        <v>6</v>
      </c>
      <c r="D9" t="s">
        <v>151</v>
      </c>
      <c r="E9" s="2" t="s">
        <v>6</v>
      </c>
      <c r="G9" s="17" t="s">
        <v>169</v>
      </c>
      <c r="H9" s="42" t="s">
        <v>6</v>
      </c>
    </row>
    <row r="10" spans="1:11" x14ac:dyDescent="0.3">
      <c r="A10" t="s">
        <v>142</v>
      </c>
      <c r="B10" s="2">
        <v>0</v>
      </c>
      <c r="D10" t="s">
        <v>142</v>
      </c>
      <c r="E10" s="2">
        <v>0</v>
      </c>
      <c r="G10" s="14" t="s">
        <v>170</v>
      </c>
      <c r="H10" s="2">
        <v>0</v>
      </c>
    </row>
    <row r="11" spans="1:11" x14ac:dyDescent="0.3">
      <c r="A11" t="s">
        <v>143</v>
      </c>
      <c r="B11" s="2">
        <v>0</v>
      </c>
      <c r="D11" t="s">
        <v>143</v>
      </c>
      <c r="E11" s="2">
        <v>0</v>
      </c>
    </row>
    <row r="12" spans="1:11" x14ac:dyDescent="0.3">
      <c r="A12" t="s">
        <v>144</v>
      </c>
      <c r="B12" s="2">
        <v>0</v>
      </c>
      <c r="D12" t="s">
        <v>144</v>
      </c>
      <c r="E12" s="2">
        <v>0</v>
      </c>
    </row>
    <row r="13" spans="1:11" x14ac:dyDescent="0.3">
      <c r="A13" t="s">
        <v>145</v>
      </c>
      <c r="B13" s="2" t="s">
        <v>146</v>
      </c>
      <c r="D13" t="s">
        <v>145</v>
      </c>
      <c r="E13" s="2" t="s">
        <v>146</v>
      </c>
    </row>
    <row r="16" spans="1:11" x14ac:dyDescent="0.3">
      <c r="A16" s="17" t="s">
        <v>212</v>
      </c>
      <c r="B16" s="40" t="s">
        <v>6</v>
      </c>
      <c r="D16" s="17" t="s">
        <v>219</v>
      </c>
      <c r="E16" s="40" t="s">
        <v>6</v>
      </c>
      <c r="G16" s="17" t="s">
        <v>231</v>
      </c>
      <c r="H16" s="40" t="s">
        <v>6</v>
      </c>
    </row>
    <row r="17" spans="1:14" x14ac:dyDescent="0.3">
      <c r="A17" s="15" t="s">
        <v>206</v>
      </c>
      <c r="B17" s="22">
        <v>4125</v>
      </c>
      <c r="D17" s="15" t="s">
        <v>206</v>
      </c>
      <c r="E17" s="22">
        <v>4125</v>
      </c>
      <c r="G17" s="15" t="s">
        <v>232</v>
      </c>
      <c r="H17" s="22">
        <v>0</v>
      </c>
    </row>
    <row r="20" spans="1:14" x14ac:dyDescent="0.3">
      <c r="A20" t="s">
        <v>255</v>
      </c>
      <c r="B20" s="2" t="s">
        <v>6</v>
      </c>
      <c r="D20" t="s">
        <v>268</v>
      </c>
      <c r="E20" s="2" t="s">
        <v>6</v>
      </c>
      <c r="G20" t="s">
        <v>284</v>
      </c>
      <c r="H20" s="2" t="s">
        <v>6</v>
      </c>
      <c r="J20" t="s">
        <v>285</v>
      </c>
      <c r="K20" t="s">
        <v>6</v>
      </c>
    </row>
    <row r="21" spans="1:14" x14ac:dyDescent="0.3">
      <c r="A21" s="5" t="s">
        <v>256</v>
      </c>
      <c r="B21" s="24">
        <v>0</v>
      </c>
      <c r="D21" s="5" t="s">
        <v>256</v>
      </c>
      <c r="E21" s="24">
        <v>0</v>
      </c>
      <c r="G21" s="7" t="s">
        <v>170</v>
      </c>
      <c r="H21" s="2">
        <v>0</v>
      </c>
      <c r="J21" s="7" t="s">
        <v>170</v>
      </c>
      <c r="K21" s="2">
        <v>0</v>
      </c>
    </row>
    <row r="22" spans="1:14" x14ac:dyDescent="0.3">
      <c r="A22" s="5" t="s">
        <v>257</v>
      </c>
      <c r="B22" s="24">
        <v>0</v>
      </c>
      <c r="D22" s="5" t="s">
        <v>257</v>
      </c>
      <c r="E22" s="24">
        <v>0</v>
      </c>
    </row>
    <row r="23" spans="1:14" x14ac:dyDescent="0.3">
      <c r="A23" s="5" t="s">
        <v>258</v>
      </c>
      <c r="B23" s="24">
        <v>0</v>
      </c>
      <c r="D23" s="5" t="s">
        <v>258</v>
      </c>
      <c r="E23" s="24">
        <v>0</v>
      </c>
      <c r="I23" s="2"/>
    </row>
    <row r="24" spans="1:14" x14ac:dyDescent="0.3">
      <c r="A24" s="21" t="s">
        <v>259</v>
      </c>
      <c r="B24" s="2" t="s">
        <v>146</v>
      </c>
      <c r="D24" s="21" t="s">
        <v>259</v>
      </c>
      <c r="E24" s="2" t="s">
        <v>146</v>
      </c>
    </row>
    <row r="25" spans="1:14" x14ac:dyDescent="0.3">
      <c r="A25" s="21" t="s">
        <v>260</v>
      </c>
      <c r="B25" s="2" t="s">
        <v>253</v>
      </c>
      <c r="D25" s="21" t="s">
        <v>260</v>
      </c>
      <c r="E25" s="2" t="s">
        <v>253</v>
      </c>
    </row>
    <row r="26" spans="1:14" x14ac:dyDescent="0.3">
      <c r="A26" s="21" t="s">
        <v>261</v>
      </c>
      <c r="B26" s="2" t="s">
        <v>253</v>
      </c>
      <c r="D26" s="21" t="s">
        <v>261</v>
      </c>
      <c r="E26" s="2" t="s">
        <v>253</v>
      </c>
    </row>
    <row r="27" spans="1:14" x14ac:dyDescent="0.3">
      <c r="A27" s="21" t="s">
        <v>262</v>
      </c>
      <c r="B27" s="2" t="s">
        <v>253</v>
      </c>
      <c r="D27" s="21" t="s">
        <v>262</v>
      </c>
      <c r="E27" s="2" t="s">
        <v>253</v>
      </c>
    </row>
    <row r="28" spans="1:14" x14ac:dyDescent="0.3">
      <c r="A28" s="21" t="s">
        <v>145</v>
      </c>
      <c r="B28" s="2" t="s">
        <v>263</v>
      </c>
      <c r="D28" s="21" t="s">
        <v>145</v>
      </c>
      <c r="E28" s="2" t="s">
        <v>263</v>
      </c>
    </row>
    <row r="31" spans="1:14" x14ac:dyDescent="0.3">
      <c r="A31" t="s">
        <v>328</v>
      </c>
      <c r="B31" s="2" t="s">
        <v>6</v>
      </c>
      <c r="D31" t="s">
        <v>326</v>
      </c>
      <c r="E31" s="2" t="s">
        <v>6</v>
      </c>
      <c r="G31" t="s">
        <v>333</v>
      </c>
      <c r="H31" s="2" t="s">
        <v>6</v>
      </c>
      <c r="J31" t="s">
        <v>334</v>
      </c>
      <c r="K31" t="s">
        <v>6</v>
      </c>
      <c r="M31" t="s">
        <v>336</v>
      </c>
      <c r="N31" t="s">
        <v>6</v>
      </c>
    </row>
    <row r="32" spans="1:14" x14ac:dyDescent="0.3">
      <c r="A32" t="s">
        <v>327</v>
      </c>
      <c r="B32" s="2">
        <v>0</v>
      </c>
      <c r="D32" t="s">
        <v>331</v>
      </c>
      <c r="E32" s="2">
        <v>0</v>
      </c>
      <c r="G32" t="s">
        <v>331</v>
      </c>
      <c r="H32" s="2">
        <v>0</v>
      </c>
      <c r="J32" s="5" t="s">
        <v>335</v>
      </c>
      <c r="K32" s="13" t="s">
        <v>146</v>
      </c>
      <c r="M32" s="7" t="s">
        <v>170</v>
      </c>
      <c r="N32" s="2">
        <v>0</v>
      </c>
    </row>
    <row r="33" spans="1:11" x14ac:dyDescent="0.3">
      <c r="A33" t="s">
        <v>329</v>
      </c>
      <c r="B33" s="2">
        <v>0</v>
      </c>
      <c r="D33" t="s">
        <v>332</v>
      </c>
      <c r="E33" s="2">
        <v>0</v>
      </c>
      <c r="G33" t="s">
        <v>332</v>
      </c>
      <c r="H33" s="2">
        <v>0</v>
      </c>
      <c r="J33" s="5" t="s">
        <v>145</v>
      </c>
      <c r="K33" s="13" t="s">
        <v>263</v>
      </c>
    </row>
    <row r="34" spans="1:11" x14ac:dyDescent="0.3">
      <c r="A34" t="s">
        <v>330</v>
      </c>
      <c r="B34" s="2" t="s">
        <v>146</v>
      </c>
      <c r="D34" s="5" t="s">
        <v>259</v>
      </c>
      <c r="E34" s="24" t="s">
        <v>146</v>
      </c>
      <c r="G34" s="5" t="s">
        <v>259</v>
      </c>
      <c r="H34" s="24" t="s">
        <v>146</v>
      </c>
    </row>
    <row r="35" spans="1:11" x14ac:dyDescent="0.3">
      <c r="D35" s="5" t="s">
        <v>260</v>
      </c>
      <c r="E35" s="24" t="s">
        <v>253</v>
      </c>
      <c r="G35" s="5" t="s">
        <v>260</v>
      </c>
      <c r="H35" s="24" t="s">
        <v>253</v>
      </c>
    </row>
    <row r="36" spans="1:11" x14ac:dyDescent="0.3">
      <c r="D36" s="5" t="s">
        <v>261</v>
      </c>
      <c r="E36" s="24" t="s">
        <v>253</v>
      </c>
      <c r="G36" s="5" t="s">
        <v>261</v>
      </c>
      <c r="H36" s="24" t="s">
        <v>253</v>
      </c>
    </row>
    <row r="37" spans="1:11" x14ac:dyDescent="0.3">
      <c r="D37" s="5" t="s">
        <v>262</v>
      </c>
      <c r="E37" s="24" t="s">
        <v>253</v>
      </c>
      <c r="G37" s="5" t="s">
        <v>262</v>
      </c>
      <c r="H37" s="24" t="s">
        <v>253</v>
      </c>
    </row>
    <row r="38" spans="1:11" x14ac:dyDescent="0.3">
      <c r="D38" s="5" t="s">
        <v>145</v>
      </c>
      <c r="E38" s="24" t="s">
        <v>263</v>
      </c>
      <c r="G38" s="5" t="s">
        <v>145</v>
      </c>
      <c r="H38" s="24" t="s">
        <v>263</v>
      </c>
    </row>
    <row r="41" spans="1:11" x14ac:dyDescent="0.3">
      <c r="A41" t="s">
        <v>355</v>
      </c>
      <c r="B41" s="2" t="s">
        <v>6</v>
      </c>
    </row>
    <row r="42" spans="1:11" x14ac:dyDescent="0.3">
      <c r="A42" t="s">
        <v>356</v>
      </c>
      <c r="B42" s="2">
        <v>0</v>
      </c>
    </row>
    <row r="43" spans="1:11" x14ac:dyDescent="0.3">
      <c r="A43" t="s">
        <v>357</v>
      </c>
      <c r="B43" s="2">
        <v>0</v>
      </c>
    </row>
    <row r="44" spans="1:11" x14ac:dyDescent="0.3">
      <c r="A44" t="s">
        <v>358</v>
      </c>
      <c r="B44" s="2" t="s">
        <v>359</v>
      </c>
    </row>
    <row r="45" spans="1:11" x14ac:dyDescent="0.3">
      <c r="A45" t="s">
        <v>360</v>
      </c>
      <c r="B45" s="2" t="s">
        <v>359</v>
      </c>
    </row>
    <row r="46" spans="1:11" x14ac:dyDescent="0.3">
      <c r="A46" t="s">
        <v>361</v>
      </c>
      <c r="B46" s="2">
        <v>734</v>
      </c>
    </row>
    <row r="49" spans="1:29" x14ac:dyDescent="0.3">
      <c r="A49" t="s">
        <v>445</v>
      </c>
      <c r="B49" s="2" t="s">
        <v>6</v>
      </c>
      <c r="D49" t="s">
        <v>451</v>
      </c>
      <c r="E49" s="2" t="s">
        <v>6</v>
      </c>
      <c r="G49" t="s">
        <v>453</v>
      </c>
      <c r="H49" s="2" t="s">
        <v>6</v>
      </c>
      <c r="J49" t="s">
        <v>454</v>
      </c>
      <c r="K49" t="s">
        <v>6</v>
      </c>
    </row>
    <row r="50" spans="1:29" x14ac:dyDescent="0.3">
      <c r="A50" s="5" t="s">
        <v>447</v>
      </c>
      <c r="B50" s="2">
        <v>0</v>
      </c>
      <c r="D50" s="5" t="s">
        <v>447</v>
      </c>
      <c r="E50" s="2">
        <v>0</v>
      </c>
      <c r="G50" s="5" t="s">
        <v>75</v>
      </c>
      <c r="H50" s="2">
        <v>4143</v>
      </c>
      <c r="J50" s="5" t="s">
        <v>455</v>
      </c>
      <c r="K50" s="2">
        <v>0</v>
      </c>
    </row>
    <row r="51" spans="1:29" x14ac:dyDescent="0.3">
      <c r="A51" s="5" t="s">
        <v>448</v>
      </c>
      <c r="B51" s="2">
        <v>0</v>
      </c>
      <c r="D51" s="5" t="s">
        <v>448</v>
      </c>
      <c r="E51" s="2">
        <v>0</v>
      </c>
      <c r="G51" s="7" t="s">
        <v>452</v>
      </c>
      <c r="H51" s="2">
        <v>1154</v>
      </c>
      <c r="J51" s="7" t="s">
        <v>450</v>
      </c>
      <c r="K51" s="2">
        <v>5944</v>
      </c>
    </row>
    <row r="52" spans="1:29" x14ac:dyDescent="0.3">
      <c r="A52" s="5" t="s">
        <v>446</v>
      </c>
      <c r="B52" s="2">
        <v>0</v>
      </c>
      <c r="D52" s="5" t="s">
        <v>446</v>
      </c>
      <c r="E52" s="2">
        <v>0</v>
      </c>
      <c r="G52" s="7" t="s">
        <v>206</v>
      </c>
      <c r="H52" s="2">
        <v>4983</v>
      </c>
    </row>
    <row r="53" spans="1:29" x14ac:dyDescent="0.3">
      <c r="A53" s="5" t="s">
        <v>449</v>
      </c>
      <c r="B53" s="2">
        <v>0</v>
      </c>
      <c r="D53" s="5" t="s">
        <v>449</v>
      </c>
      <c r="E53" s="2">
        <v>0</v>
      </c>
      <c r="G53" s="7" t="s">
        <v>450</v>
      </c>
      <c r="H53" s="2">
        <v>10087</v>
      </c>
    </row>
    <row r="54" spans="1:29" x14ac:dyDescent="0.3">
      <c r="A54" s="5" t="s">
        <v>75</v>
      </c>
      <c r="B54" s="2">
        <v>5297</v>
      </c>
      <c r="D54" s="5" t="s">
        <v>75</v>
      </c>
      <c r="E54" s="2">
        <v>4143</v>
      </c>
    </row>
    <row r="55" spans="1:29" x14ac:dyDescent="0.3">
      <c r="A55" s="7" t="s">
        <v>76</v>
      </c>
      <c r="B55" s="2">
        <v>1154</v>
      </c>
      <c r="D55" s="7" t="s">
        <v>452</v>
      </c>
      <c r="E55" s="2">
        <v>1154</v>
      </c>
    </row>
    <row r="56" spans="1:29" x14ac:dyDescent="0.3">
      <c r="A56" s="7" t="s">
        <v>206</v>
      </c>
      <c r="B56" s="2">
        <v>6136</v>
      </c>
      <c r="D56" s="7" t="s">
        <v>206</v>
      </c>
      <c r="E56" s="2">
        <v>4983</v>
      </c>
    </row>
    <row r="57" spans="1:29" x14ac:dyDescent="0.3">
      <c r="A57" s="7" t="s">
        <v>450</v>
      </c>
      <c r="B57" s="2">
        <v>11241</v>
      </c>
      <c r="D57" s="7" t="s">
        <v>450</v>
      </c>
      <c r="E57" s="2">
        <v>10087</v>
      </c>
    </row>
    <row r="60" spans="1:29" x14ac:dyDescent="0.3">
      <c r="A60" t="s">
        <v>567</v>
      </c>
      <c r="B60" s="2" t="s">
        <v>6</v>
      </c>
      <c r="D60" t="s">
        <v>583</v>
      </c>
      <c r="E60" s="2" t="s">
        <v>6</v>
      </c>
      <c r="G60" t="s">
        <v>584</v>
      </c>
      <c r="H60" s="2" t="s">
        <v>6</v>
      </c>
      <c r="J60" t="s">
        <v>585</v>
      </c>
      <c r="K60" t="s">
        <v>6</v>
      </c>
      <c r="M60" t="s">
        <v>586</v>
      </c>
      <c r="N60" t="s">
        <v>6</v>
      </c>
      <c r="P60" t="s">
        <v>587</v>
      </c>
      <c r="Q60" t="s">
        <v>6</v>
      </c>
      <c r="S60" t="s">
        <v>588</v>
      </c>
      <c r="T60" t="s">
        <v>6</v>
      </c>
      <c r="V60" t="s">
        <v>601</v>
      </c>
      <c r="W60" t="s">
        <v>6</v>
      </c>
      <c r="Y60" t="s">
        <v>602</v>
      </c>
      <c r="Z60" t="s">
        <v>6</v>
      </c>
      <c r="AB60" t="s">
        <v>603</v>
      </c>
      <c r="AC60" t="s">
        <v>6</v>
      </c>
    </row>
    <row r="61" spans="1:29" x14ac:dyDescent="0.3">
      <c r="A61" s="5" t="s">
        <v>447</v>
      </c>
      <c r="B61" s="2">
        <v>0</v>
      </c>
      <c r="D61" s="5" t="s">
        <v>447</v>
      </c>
      <c r="E61" s="2">
        <v>0</v>
      </c>
      <c r="G61" s="5" t="s">
        <v>447</v>
      </c>
      <c r="H61" s="2">
        <v>0</v>
      </c>
      <c r="J61" s="5" t="s">
        <v>447</v>
      </c>
      <c r="K61" s="2">
        <v>0</v>
      </c>
      <c r="M61" s="5" t="s">
        <v>447</v>
      </c>
      <c r="N61" s="2">
        <v>0</v>
      </c>
      <c r="P61" s="5" t="s">
        <v>447</v>
      </c>
      <c r="Q61" s="2">
        <v>0</v>
      </c>
      <c r="S61" s="21" t="s">
        <v>576</v>
      </c>
      <c r="T61" s="2">
        <v>0</v>
      </c>
      <c r="V61" s="21" t="s">
        <v>590</v>
      </c>
      <c r="W61" s="2">
        <v>0</v>
      </c>
      <c r="Y61" s="21" t="s">
        <v>590</v>
      </c>
      <c r="Z61" s="2">
        <v>0</v>
      </c>
      <c r="AB61" s="21" t="s">
        <v>593</v>
      </c>
      <c r="AC61" s="2">
        <v>0</v>
      </c>
    </row>
    <row r="62" spans="1:29" x14ac:dyDescent="0.3">
      <c r="A62" s="5" t="s">
        <v>568</v>
      </c>
      <c r="B62" s="2">
        <v>0</v>
      </c>
      <c r="D62" s="5" t="s">
        <v>568</v>
      </c>
      <c r="E62" s="2">
        <v>0</v>
      </c>
      <c r="G62" s="5" t="s">
        <v>568</v>
      </c>
      <c r="H62" s="2">
        <v>0</v>
      </c>
      <c r="J62" s="5" t="s">
        <v>568</v>
      </c>
      <c r="K62" s="2">
        <v>0</v>
      </c>
      <c r="M62" s="5" t="s">
        <v>568</v>
      </c>
      <c r="N62" s="2">
        <v>0</v>
      </c>
      <c r="P62" s="5" t="s">
        <v>568</v>
      </c>
      <c r="Q62" s="2">
        <v>0</v>
      </c>
      <c r="S62" s="21" t="s">
        <v>577</v>
      </c>
      <c r="T62" s="2">
        <v>0</v>
      </c>
      <c r="V62" s="21" t="s">
        <v>591</v>
      </c>
      <c r="W62" s="2">
        <v>0</v>
      </c>
      <c r="Y62" s="21" t="s">
        <v>591</v>
      </c>
      <c r="Z62" s="2">
        <v>0</v>
      </c>
      <c r="AB62" s="21" t="s">
        <v>594</v>
      </c>
      <c r="AC62" s="2">
        <v>0</v>
      </c>
    </row>
    <row r="63" spans="1:29" x14ac:dyDescent="0.3">
      <c r="A63" s="5" t="s">
        <v>569</v>
      </c>
      <c r="B63" s="2">
        <v>0</v>
      </c>
      <c r="D63" s="5" t="s">
        <v>569</v>
      </c>
      <c r="E63" s="2">
        <v>0</v>
      </c>
      <c r="G63" s="5" t="s">
        <v>569</v>
      </c>
      <c r="H63" s="2">
        <v>0</v>
      </c>
      <c r="J63" s="5" t="s">
        <v>569</v>
      </c>
      <c r="K63" s="2">
        <v>0</v>
      </c>
      <c r="M63" s="5" t="s">
        <v>569</v>
      </c>
      <c r="N63" s="2">
        <v>0</v>
      </c>
      <c r="P63" s="5" t="s">
        <v>569</v>
      </c>
      <c r="Q63" s="2">
        <v>0</v>
      </c>
      <c r="S63" s="21" t="s">
        <v>578</v>
      </c>
      <c r="T63" s="2">
        <v>0</v>
      </c>
      <c r="V63" s="21" t="s">
        <v>592</v>
      </c>
      <c r="W63" s="2">
        <v>0</v>
      </c>
      <c r="Y63" s="21" t="s">
        <v>592</v>
      </c>
      <c r="Z63" s="2">
        <v>0</v>
      </c>
      <c r="AB63" s="21" t="s">
        <v>595</v>
      </c>
      <c r="AC63" s="2">
        <v>0</v>
      </c>
    </row>
    <row r="64" spans="1:29" x14ac:dyDescent="0.3">
      <c r="A64" s="21" t="s">
        <v>570</v>
      </c>
      <c r="B64" s="2">
        <v>0</v>
      </c>
      <c r="D64" s="21" t="s">
        <v>570</v>
      </c>
      <c r="E64" s="2">
        <v>0</v>
      </c>
      <c r="G64" s="21" t="s">
        <v>570</v>
      </c>
      <c r="H64" s="2">
        <v>0</v>
      </c>
      <c r="J64" s="21" t="s">
        <v>570</v>
      </c>
      <c r="K64" s="2">
        <v>0</v>
      </c>
      <c r="M64" s="21" t="s">
        <v>570</v>
      </c>
      <c r="N64" s="2">
        <v>0</v>
      </c>
      <c r="P64" s="21" t="s">
        <v>570</v>
      </c>
      <c r="Q64" s="2">
        <v>0</v>
      </c>
      <c r="S64" s="21" t="s">
        <v>579</v>
      </c>
      <c r="T64" s="2">
        <v>0</v>
      </c>
      <c r="V64" s="21" t="s">
        <v>589</v>
      </c>
      <c r="W64" s="2">
        <v>0</v>
      </c>
      <c r="Y64" s="21" t="s">
        <v>589</v>
      </c>
      <c r="Z64" s="2">
        <v>0</v>
      </c>
      <c r="AB64" s="21" t="s">
        <v>596</v>
      </c>
      <c r="AC64" s="2">
        <v>0</v>
      </c>
    </row>
    <row r="65" spans="1:29" x14ac:dyDescent="0.3">
      <c r="A65" s="5" t="s">
        <v>571</v>
      </c>
      <c r="B65" s="2">
        <v>2710</v>
      </c>
      <c r="D65" s="5" t="s">
        <v>571</v>
      </c>
      <c r="E65" s="2">
        <v>2710</v>
      </c>
      <c r="G65" s="5" t="s">
        <v>571</v>
      </c>
      <c r="H65" s="2">
        <v>2710</v>
      </c>
      <c r="J65" s="5" t="s">
        <v>571</v>
      </c>
      <c r="K65" s="2">
        <v>2710</v>
      </c>
      <c r="M65" s="5" t="s">
        <v>571</v>
      </c>
      <c r="N65" s="2">
        <v>2710</v>
      </c>
      <c r="P65" s="5" t="s">
        <v>571</v>
      </c>
      <c r="Q65" s="2">
        <v>2710</v>
      </c>
      <c r="S65" s="21" t="s">
        <v>580</v>
      </c>
      <c r="T65" s="2">
        <v>0</v>
      </c>
      <c r="V65" s="21" t="s">
        <v>604</v>
      </c>
      <c r="W65" s="2">
        <v>0</v>
      </c>
      <c r="Y65" s="21" t="s">
        <v>604</v>
      </c>
      <c r="Z65" s="2">
        <v>0</v>
      </c>
      <c r="AB65" s="21" t="s">
        <v>597</v>
      </c>
      <c r="AC65" s="2">
        <v>0</v>
      </c>
    </row>
    <row r="66" spans="1:29" x14ac:dyDescent="0.3">
      <c r="A66" s="5" t="s">
        <v>572</v>
      </c>
      <c r="B66" s="2">
        <v>2710</v>
      </c>
      <c r="D66" s="5" t="s">
        <v>572</v>
      </c>
      <c r="E66" s="2">
        <v>2710</v>
      </c>
      <c r="G66" s="5" t="s">
        <v>572</v>
      </c>
      <c r="H66" s="2">
        <v>2710</v>
      </c>
      <c r="J66" s="5" t="s">
        <v>572</v>
      </c>
      <c r="K66" s="2">
        <v>2710</v>
      </c>
      <c r="M66" s="5" t="s">
        <v>572</v>
      </c>
      <c r="N66" s="2">
        <v>2710</v>
      </c>
      <c r="P66" s="5" t="s">
        <v>572</v>
      </c>
      <c r="Q66" s="2">
        <v>2710</v>
      </c>
      <c r="S66" s="21" t="s">
        <v>581</v>
      </c>
      <c r="T66" s="2">
        <v>4680</v>
      </c>
      <c r="V66" s="21" t="s">
        <v>593</v>
      </c>
      <c r="W66" s="2" t="s">
        <v>600</v>
      </c>
      <c r="Y66" s="21" t="s">
        <v>593</v>
      </c>
      <c r="Z66" s="2" t="s">
        <v>600</v>
      </c>
      <c r="AB66" s="21" t="s">
        <v>598</v>
      </c>
      <c r="AC66" s="2">
        <v>1189</v>
      </c>
    </row>
    <row r="67" spans="1:29" x14ac:dyDescent="0.3">
      <c r="A67" s="5" t="s">
        <v>573</v>
      </c>
      <c r="B67" s="2">
        <v>2710</v>
      </c>
      <c r="D67" s="5" t="s">
        <v>573</v>
      </c>
      <c r="E67" s="2">
        <v>2710</v>
      </c>
      <c r="G67" s="5" t="s">
        <v>573</v>
      </c>
      <c r="H67" s="2">
        <v>2710</v>
      </c>
      <c r="J67" s="5" t="s">
        <v>573</v>
      </c>
      <c r="K67" s="2">
        <v>2710</v>
      </c>
      <c r="M67" s="5" t="s">
        <v>573</v>
      </c>
      <c r="N67" s="2">
        <v>2710</v>
      </c>
      <c r="P67" s="5" t="s">
        <v>573</v>
      </c>
      <c r="Q67" s="2">
        <v>2710</v>
      </c>
      <c r="S67" s="21" t="s">
        <v>582</v>
      </c>
      <c r="T67" s="2">
        <v>4860</v>
      </c>
      <c r="V67" s="21" t="s">
        <v>594</v>
      </c>
      <c r="W67" s="2" t="s">
        <v>600</v>
      </c>
      <c r="Y67" s="21" t="s">
        <v>594</v>
      </c>
      <c r="Z67" s="2" t="s">
        <v>600</v>
      </c>
      <c r="AB67" s="21" t="s">
        <v>599</v>
      </c>
      <c r="AC67" s="2">
        <v>1189</v>
      </c>
    </row>
    <row r="68" spans="1:29" x14ac:dyDescent="0.3">
      <c r="A68" s="21" t="s">
        <v>574</v>
      </c>
      <c r="B68" s="2">
        <v>2710</v>
      </c>
      <c r="D68" s="21" t="s">
        <v>574</v>
      </c>
      <c r="E68" s="2">
        <v>2710</v>
      </c>
      <c r="G68" s="21" t="s">
        <v>574</v>
      </c>
      <c r="H68" s="2">
        <v>2710</v>
      </c>
      <c r="J68" s="21" t="s">
        <v>574</v>
      </c>
      <c r="K68" s="2">
        <v>2710</v>
      </c>
      <c r="M68" s="21" t="s">
        <v>574</v>
      </c>
      <c r="N68" s="2">
        <v>2710</v>
      </c>
      <c r="P68" s="21" t="s">
        <v>574</v>
      </c>
      <c r="Q68" s="2">
        <v>2710</v>
      </c>
      <c r="V68" s="21" t="s">
        <v>595</v>
      </c>
      <c r="W68" s="2" t="s">
        <v>600</v>
      </c>
      <c r="Y68" s="21" t="s">
        <v>595</v>
      </c>
      <c r="Z68" s="2" t="s">
        <v>600</v>
      </c>
    </row>
    <row r="69" spans="1:29" x14ac:dyDescent="0.3">
      <c r="A69" s="21" t="s">
        <v>575</v>
      </c>
      <c r="B69" s="2">
        <v>2710</v>
      </c>
      <c r="D69" s="21" t="s">
        <v>575</v>
      </c>
      <c r="E69" s="2">
        <v>2710</v>
      </c>
      <c r="G69" s="21" t="s">
        <v>575</v>
      </c>
      <c r="H69" s="2">
        <v>2710</v>
      </c>
      <c r="J69" s="21" t="s">
        <v>575</v>
      </c>
      <c r="K69" s="2">
        <v>2710</v>
      </c>
      <c r="M69" s="21" t="s">
        <v>575</v>
      </c>
      <c r="N69" s="2">
        <v>2710</v>
      </c>
      <c r="P69" s="21" t="s">
        <v>575</v>
      </c>
      <c r="Q69" s="2">
        <v>2710</v>
      </c>
      <c r="V69" s="21" t="s">
        <v>596</v>
      </c>
      <c r="W69" s="2" t="s">
        <v>600</v>
      </c>
      <c r="Y69" s="21" t="s">
        <v>596</v>
      </c>
      <c r="Z69" s="2" t="s">
        <v>600</v>
      </c>
    </row>
    <row r="70" spans="1:29" x14ac:dyDescent="0.3">
      <c r="A70" s="21" t="s">
        <v>576</v>
      </c>
      <c r="B70" s="2" t="s">
        <v>253</v>
      </c>
      <c r="D70" s="21" t="s">
        <v>576</v>
      </c>
      <c r="E70" s="2" t="s">
        <v>253</v>
      </c>
      <c r="G70" s="21" t="s">
        <v>576</v>
      </c>
      <c r="H70" s="2" t="s">
        <v>253</v>
      </c>
      <c r="J70" s="21" t="s">
        <v>576</v>
      </c>
      <c r="K70" s="2" t="s">
        <v>253</v>
      </c>
      <c r="M70" s="21" t="s">
        <v>576</v>
      </c>
      <c r="N70" s="2" t="s">
        <v>253</v>
      </c>
      <c r="P70" s="21" t="s">
        <v>576</v>
      </c>
      <c r="Q70" s="2" t="s">
        <v>253</v>
      </c>
      <c r="V70" s="21" t="s">
        <v>597</v>
      </c>
      <c r="W70" s="2" t="s">
        <v>600</v>
      </c>
      <c r="Y70" s="21" t="s">
        <v>597</v>
      </c>
      <c r="Z70" s="2" t="s">
        <v>600</v>
      </c>
    </row>
    <row r="71" spans="1:29" x14ac:dyDescent="0.3">
      <c r="A71" s="21" t="s">
        <v>577</v>
      </c>
      <c r="B71" s="2" t="s">
        <v>253</v>
      </c>
      <c r="D71" s="21" t="s">
        <v>577</v>
      </c>
      <c r="E71" s="2" t="s">
        <v>253</v>
      </c>
      <c r="G71" s="21" t="s">
        <v>577</v>
      </c>
      <c r="H71" s="2" t="s">
        <v>253</v>
      </c>
      <c r="J71" s="21" t="s">
        <v>577</v>
      </c>
      <c r="K71" s="2" t="s">
        <v>253</v>
      </c>
      <c r="M71" s="21" t="s">
        <v>577</v>
      </c>
      <c r="N71" s="2" t="s">
        <v>253</v>
      </c>
      <c r="P71" s="21" t="s">
        <v>577</v>
      </c>
      <c r="Q71" s="2" t="s">
        <v>253</v>
      </c>
      <c r="V71" s="21" t="s">
        <v>598</v>
      </c>
      <c r="W71" s="2">
        <v>1189</v>
      </c>
      <c r="Y71" s="21" t="s">
        <v>598</v>
      </c>
      <c r="Z71" s="2">
        <v>1189</v>
      </c>
    </row>
    <row r="72" spans="1:29" x14ac:dyDescent="0.3">
      <c r="A72" s="21" t="s">
        <v>578</v>
      </c>
      <c r="B72" s="2" t="s">
        <v>253</v>
      </c>
      <c r="D72" s="21" t="s">
        <v>578</v>
      </c>
      <c r="E72" s="2" t="s">
        <v>253</v>
      </c>
      <c r="G72" s="21" t="s">
        <v>578</v>
      </c>
      <c r="H72" s="2" t="s">
        <v>253</v>
      </c>
      <c r="J72" s="21" t="s">
        <v>578</v>
      </c>
      <c r="K72" s="2" t="s">
        <v>253</v>
      </c>
      <c r="M72" s="21" t="s">
        <v>578</v>
      </c>
      <c r="N72" s="2" t="s">
        <v>253</v>
      </c>
      <c r="P72" s="21" t="s">
        <v>578</v>
      </c>
      <c r="Q72" s="2" t="s">
        <v>253</v>
      </c>
      <c r="V72" s="21" t="s">
        <v>599</v>
      </c>
      <c r="W72" s="2">
        <v>1189</v>
      </c>
      <c r="Y72" s="21" t="s">
        <v>599</v>
      </c>
      <c r="Z72" s="2">
        <v>1189</v>
      </c>
    </row>
    <row r="73" spans="1:29" x14ac:dyDescent="0.3">
      <c r="A73" s="21" t="s">
        <v>579</v>
      </c>
      <c r="B73" s="2" t="s">
        <v>253</v>
      </c>
      <c r="D73" s="21" t="s">
        <v>579</v>
      </c>
      <c r="E73" s="2" t="s">
        <v>253</v>
      </c>
      <c r="G73" s="21" t="s">
        <v>579</v>
      </c>
      <c r="H73" s="2" t="s">
        <v>253</v>
      </c>
      <c r="J73" s="21" t="s">
        <v>579</v>
      </c>
      <c r="K73" s="2" t="s">
        <v>253</v>
      </c>
      <c r="M73" s="21" t="s">
        <v>579</v>
      </c>
      <c r="N73" s="2" t="s">
        <v>253</v>
      </c>
      <c r="P73" s="21" t="s">
        <v>579</v>
      </c>
      <c r="Q73" s="2" t="s">
        <v>253</v>
      </c>
    </row>
    <row r="74" spans="1:29" x14ac:dyDescent="0.3">
      <c r="A74" s="21" t="s">
        <v>580</v>
      </c>
      <c r="B74" s="2" t="s">
        <v>253</v>
      </c>
      <c r="D74" s="21" t="s">
        <v>580</v>
      </c>
      <c r="E74" s="2" t="s">
        <v>253</v>
      </c>
      <c r="G74" s="21" t="s">
        <v>580</v>
      </c>
      <c r="H74" s="2" t="s">
        <v>253</v>
      </c>
      <c r="J74" s="21" t="s">
        <v>580</v>
      </c>
      <c r="K74" s="2" t="s">
        <v>253</v>
      </c>
      <c r="M74" s="21" t="s">
        <v>580</v>
      </c>
      <c r="N74" s="2" t="s">
        <v>253</v>
      </c>
      <c r="P74" s="21" t="s">
        <v>580</v>
      </c>
      <c r="Q74" s="2" t="s">
        <v>253</v>
      </c>
    </row>
    <row r="75" spans="1:29" x14ac:dyDescent="0.3">
      <c r="A75" s="21" t="s">
        <v>581</v>
      </c>
      <c r="B75" s="2">
        <v>4860</v>
      </c>
      <c r="D75" s="21" t="s">
        <v>581</v>
      </c>
      <c r="E75" s="2">
        <v>4860</v>
      </c>
      <c r="G75" s="21" t="s">
        <v>581</v>
      </c>
      <c r="H75" s="2">
        <v>4860</v>
      </c>
      <c r="J75" s="21" t="s">
        <v>581</v>
      </c>
      <c r="K75" s="2">
        <v>4860</v>
      </c>
      <c r="M75" s="21" t="s">
        <v>581</v>
      </c>
      <c r="N75" s="2">
        <v>4860</v>
      </c>
      <c r="P75" s="21" t="s">
        <v>581</v>
      </c>
      <c r="Q75" s="2">
        <v>4860</v>
      </c>
    </row>
    <row r="76" spans="1:29" x14ac:dyDescent="0.3">
      <c r="A76" s="21" t="s">
        <v>582</v>
      </c>
      <c r="B76" s="2">
        <v>4860</v>
      </c>
      <c r="D76" s="21" t="s">
        <v>582</v>
      </c>
      <c r="E76" s="2">
        <v>4860</v>
      </c>
      <c r="G76" s="21" t="s">
        <v>582</v>
      </c>
      <c r="H76" s="2">
        <v>4860</v>
      </c>
      <c r="J76" s="21" t="s">
        <v>582</v>
      </c>
      <c r="K76" s="2">
        <v>4860</v>
      </c>
      <c r="M76" s="21" t="s">
        <v>582</v>
      </c>
      <c r="N76" s="2">
        <v>4860</v>
      </c>
      <c r="P76" s="21" t="s">
        <v>582</v>
      </c>
      <c r="Q76" s="2">
        <v>4860</v>
      </c>
    </row>
    <row r="79" spans="1:29" x14ac:dyDescent="0.3">
      <c r="A79" t="s">
        <v>586</v>
      </c>
      <c r="B79" s="2" t="s">
        <v>6</v>
      </c>
    </row>
    <row r="80" spans="1:29" x14ac:dyDescent="0.3">
      <c r="A80" s="5" t="s">
        <v>447</v>
      </c>
      <c r="B80" s="2">
        <v>0</v>
      </c>
    </row>
    <row r="81" spans="1:5" x14ac:dyDescent="0.3">
      <c r="A81" s="5" t="s">
        <v>568</v>
      </c>
      <c r="B81" s="2">
        <v>0</v>
      </c>
    </row>
    <row r="82" spans="1:5" x14ac:dyDescent="0.3">
      <c r="A82" s="5" t="s">
        <v>571</v>
      </c>
      <c r="B82" s="2">
        <v>2710</v>
      </c>
    </row>
    <row r="83" spans="1:5" x14ac:dyDescent="0.3">
      <c r="A83" s="5" t="s">
        <v>572</v>
      </c>
      <c r="B83" s="2">
        <v>2710</v>
      </c>
    </row>
    <row r="84" spans="1:5" x14ac:dyDescent="0.3">
      <c r="A84" s="5" t="s">
        <v>626</v>
      </c>
      <c r="B84" s="2">
        <v>2710</v>
      </c>
    </row>
    <row r="85" spans="1:5" x14ac:dyDescent="0.3">
      <c r="A85" s="21" t="s">
        <v>629</v>
      </c>
      <c r="B85" s="2">
        <v>4860</v>
      </c>
    </row>
    <row r="86" spans="1:5" x14ac:dyDescent="0.3">
      <c r="A86" s="21" t="s">
        <v>632</v>
      </c>
      <c r="B86" s="2">
        <v>4860</v>
      </c>
    </row>
    <row r="87" spans="1:5" x14ac:dyDescent="0.3">
      <c r="A87" s="21" t="s">
        <v>628</v>
      </c>
      <c r="B87" s="2">
        <v>4860</v>
      </c>
    </row>
    <row r="88" spans="1:5" x14ac:dyDescent="0.3">
      <c r="A88" s="21" t="s">
        <v>627</v>
      </c>
      <c r="B88" s="2">
        <v>4860</v>
      </c>
    </row>
    <row r="89" spans="1:5" x14ac:dyDescent="0.3">
      <c r="A89" s="21" t="s">
        <v>630</v>
      </c>
      <c r="B89" s="2">
        <v>4860</v>
      </c>
    </row>
    <row r="90" spans="1:5" x14ac:dyDescent="0.3">
      <c r="A90" s="21" t="s">
        <v>631</v>
      </c>
      <c r="B90" s="2">
        <v>4860</v>
      </c>
    </row>
    <row r="93" spans="1:5" x14ac:dyDescent="0.3">
      <c r="A93" t="s">
        <v>683</v>
      </c>
      <c r="B93" s="2" t="s">
        <v>6</v>
      </c>
      <c r="D93" t="s">
        <v>691</v>
      </c>
      <c r="E93" s="2" t="s">
        <v>6</v>
      </c>
    </row>
    <row r="94" spans="1:5" x14ac:dyDescent="0.3">
      <c r="A94" s="5" t="s">
        <v>447</v>
      </c>
      <c r="D94" s="5" t="s">
        <v>447</v>
      </c>
      <c r="E94" s="2">
        <v>0</v>
      </c>
    </row>
    <row r="95" spans="1:5" x14ac:dyDescent="0.3">
      <c r="A95" s="5" t="s">
        <v>684</v>
      </c>
      <c r="D95" s="21" t="s">
        <v>688</v>
      </c>
      <c r="E95" s="2">
        <v>0</v>
      </c>
    </row>
    <row r="96" spans="1:5" x14ac:dyDescent="0.3">
      <c r="A96" s="5" t="s">
        <v>685</v>
      </c>
      <c r="D96" s="21" t="s">
        <v>689</v>
      </c>
      <c r="E96" s="2">
        <v>0</v>
      </c>
    </row>
    <row r="97" spans="1:8" x14ac:dyDescent="0.3">
      <c r="A97" s="21" t="s">
        <v>686</v>
      </c>
      <c r="B97" s="2">
        <v>420</v>
      </c>
      <c r="D97" s="21" t="s">
        <v>690</v>
      </c>
      <c r="E97" s="2">
        <v>0</v>
      </c>
    </row>
    <row r="98" spans="1:8" x14ac:dyDescent="0.3">
      <c r="A98" s="21" t="s">
        <v>687</v>
      </c>
      <c r="B98" s="2">
        <v>420</v>
      </c>
    </row>
    <row r="99" spans="1:8" x14ac:dyDescent="0.3">
      <c r="A99" s="21" t="s">
        <v>688</v>
      </c>
      <c r="B99" s="2">
        <v>3496</v>
      </c>
    </row>
    <row r="100" spans="1:8" x14ac:dyDescent="0.3">
      <c r="A100" s="21" t="s">
        <v>689</v>
      </c>
      <c r="B100" s="2">
        <v>3496</v>
      </c>
    </row>
    <row r="101" spans="1:8" x14ac:dyDescent="0.3">
      <c r="A101" s="21" t="s">
        <v>690</v>
      </c>
      <c r="B101" s="2">
        <v>3496</v>
      </c>
    </row>
    <row r="104" spans="1:8" x14ac:dyDescent="0.3">
      <c r="A104" t="s">
        <v>762</v>
      </c>
      <c r="B104" s="2" t="s">
        <v>6</v>
      </c>
      <c r="D104" t="s">
        <v>768</v>
      </c>
      <c r="E104" s="2" t="s">
        <v>6</v>
      </c>
      <c r="G104" t="s">
        <v>780</v>
      </c>
      <c r="H104" s="2" t="s">
        <v>6</v>
      </c>
    </row>
    <row r="105" spans="1:8" x14ac:dyDescent="0.3">
      <c r="A105" s="5" t="s">
        <v>142</v>
      </c>
      <c r="B105" s="2">
        <v>0</v>
      </c>
      <c r="D105" t="s">
        <v>769</v>
      </c>
      <c r="E105" s="2">
        <v>0</v>
      </c>
      <c r="G105" s="5" t="s">
        <v>781</v>
      </c>
      <c r="H105" s="2">
        <v>0</v>
      </c>
    </row>
    <row r="106" spans="1:8" x14ac:dyDescent="0.3">
      <c r="A106" s="5" t="s">
        <v>760</v>
      </c>
      <c r="B106" s="2">
        <v>0</v>
      </c>
      <c r="D106" t="s">
        <v>770</v>
      </c>
      <c r="E106" s="2">
        <v>0</v>
      </c>
      <c r="G106" s="5" t="s">
        <v>782</v>
      </c>
      <c r="H106" s="2">
        <v>1941</v>
      </c>
    </row>
    <row r="107" spans="1:8" x14ac:dyDescent="0.3">
      <c r="A107" s="5" t="s">
        <v>144</v>
      </c>
      <c r="B107" s="2">
        <v>0</v>
      </c>
      <c r="D107" t="s">
        <v>771</v>
      </c>
      <c r="E107" s="2">
        <v>0</v>
      </c>
      <c r="G107" s="5" t="s">
        <v>783</v>
      </c>
      <c r="H107" s="2">
        <v>1941</v>
      </c>
    </row>
    <row r="108" spans="1:8" x14ac:dyDescent="0.3">
      <c r="A108" s="21" t="s">
        <v>761</v>
      </c>
      <c r="B108" s="2">
        <v>0</v>
      </c>
      <c r="D108" t="s">
        <v>772</v>
      </c>
      <c r="E108" s="2">
        <v>0</v>
      </c>
      <c r="G108" s="5" t="s">
        <v>784</v>
      </c>
      <c r="H108" s="2">
        <v>1941</v>
      </c>
    </row>
    <row r="109" spans="1:8" x14ac:dyDescent="0.3">
      <c r="A109" s="21" t="s">
        <v>764</v>
      </c>
      <c r="B109" s="2" t="s">
        <v>763</v>
      </c>
      <c r="D109" s="5" t="s">
        <v>764</v>
      </c>
      <c r="E109" s="2">
        <v>0</v>
      </c>
      <c r="G109" s="5" t="s">
        <v>785</v>
      </c>
      <c r="H109" s="2">
        <v>1941</v>
      </c>
    </row>
    <row r="110" spans="1:8" x14ac:dyDescent="0.3">
      <c r="A110" s="21" t="s">
        <v>765</v>
      </c>
      <c r="B110" s="2" t="s">
        <v>733</v>
      </c>
      <c r="D110" s="5" t="s">
        <v>765</v>
      </c>
      <c r="E110" s="2">
        <v>0</v>
      </c>
      <c r="G110" s="5" t="s">
        <v>786</v>
      </c>
      <c r="H110" s="2">
        <v>1941</v>
      </c>
    </row>
    <row r="111" spans="1:8" x14ac:dyDescent="0.3">
      <c r="A111" s="21" t="s">
        <v>766</v>
      </c>
      <c r="B111" s="2" t="s">
        <v>733</v>
      </c>
      <c r="D111" s="5" t="s">
        <v>766</v>
      </c>
      <c r="E111" s="2">
        <v>0</v>
      </c>
      <c r="G111" s="5" t="s">
        <v>787</v>
      </c>
      <c r="H111" s="2">
        <v>1941</v>
      </c>
    </row>
    <row r="112" spans="1:8" x14ac:dyDescent="0.3">
      <c r="A112" s="21" t="s">
        <v>767</v>
      </c>
      <c r="B112" s="2" t="s">
        <v>733</v>
      </c>
      <c r="D112" s="7" t="s">
        <v>767</v>
      </c>
      <c r="E112" s="2">
        <v>0</v>
      </c>
      <c r="G112" s="5" t="s">
        <v>788</v>
      </c>
      <c r="H112" s="2">
        <v>1941</v>
      </c>
    </row>
    <row r="113" spans="1:11" x14ac:dyDescent="0.3">
      <c r="D113" s="21" t="s">
        <v>779</v>
      </c>
      <c r="E113" s="2">
        <v>2447</v>
      </c>
      <c r="G113" s="5" t="s">
        <v>789</v>
      </c>
      <c r="H113" s="2">
        <v>1941</v>
      </c>
    </row>
    <row r="114" spans="1:11" x14ac:dyDescent="0.3">
      <c r="D114" s="21" t="s">
        <v>773</v>
      </c>
      <c r="E114" s="2">
        <v>2447</v>
      </c>
    </row>
    <row r="115" spans="1:11" x14ac:dyDescent="0.3">
      <c r="D115" s="21" t="s">
        <v>774</v>
      </c>
      <c r="E115" s="2">
        <v>2447</v>
      </c>
    </row>
    <row r="116" spans="1:11" x14ac:dyDescent="0.3">
      <c r="D116" s="21" t="s">
        <v>775</v>
      </c>
      <c r="E116" s="2">
        <v>2447</v>
      </c>
    </row>
    <row r="117" spans="1:11" x14ac:dyDescent="0.3">
      <c r="D117" s="21" t="s">
        <v>776</v>
      </c>
      <c r="E117" s="2">
        <v>2447</v>
      </c>
    </row>
    <row r="118" spans="1:11" x14ac:dyDescent="0.3">
      <c r="D118" s="21" t="s">
        <v>777</v>
      </c>
      <c r="E118" s="2">
        <v>2447</v>
      </c>
    </row>
    <row r="119" spans="1:11" x14ac:dyDescent="0.3">
      <c r="D119" s="21" t="s">
        <v>778</v>
      </c>
      <c r="E119" s="2">
        <v>2447</v>
      </c>
    </row>
    <row r="122" spans="1:11" x14ac:dyDescent="0.3">
      <c r="A122" t="s">
        <v>827</v>
      </c>
      <c r="B122" s="2" t="s">
        <v>6</v>
      </c>
      <c r="D122" t="s">
        <v>839</v>
      </c>
      <c r="E122" s="2" t="s">
        <v>6</v>
      </c>
      <c r="G122" t="s">
        <v>846</v>
      </c>
      <c r="H122" s="2" t="s">
        <v>6</v>
      </c>
      <c r="J122" t="s">
        <v>849</v>
      </c>
      <c r="K122" t="s">
        <v>6</v>
      </c>
    </row>
    <row r="123" spans="1:11" x14ac:dyDescent="0.3">
      <c r="A123" s="5" t="s">
        <v>447</v>
      </c>
      <c r="B123" s="2">
        <v>0</v>
      </c>
      <c r="D123" s="5" t="s">
        <v>833</v>
      </c>
      <c r="E123" s="2">
        <v>0</v>
      </c>
      <c r="G123" s="5" t="s">
        <v>841</v>
      </c>
      <c r="H123" s="24" t="s">
        <v>253</v>
      </c>
      <c r="J123" s="5" t="s">
        <v>843</v>
      </c>
      <c r="K123">
        <v>0</v>
      </c>
    </row>
    <row r="124" spans="1:11" x14ac:dyDescent="0.3">
      <c r="A124" s="5" t="s">
        <v>828</v>
      </c>
      <c r="B124" s="2" t="s">
        <v>388</v>
      </c>
      <c r="D124" s="5" t="s">
        <v>834</v>
      </c>
      <c r="E124" s="2">
        <v>0</v>
      </c>
      <c r="G124" s="5" t="s">
        <v>847</v>
      </c>
      <c r="H124" s="24" t="s">
        <v>848</v>
      </c>
      <c r="J124" t="s">
        <v>845</v>
      </c>
      <c r="K124">
        <v>0</v>
      </c>
    </row>
    <row r="125" spans="1:11" x14ac:dyDescent="0.3">
      <c r="A125" s="21" t="s">
        <v>829</v>
      </c>
      <c r="B125" s="2">
        <v>0</v>
      </c>
      <c r="D125" s="5" t="s">
        <v>836</v>
      </c>
      <c r="E125" s="2">
        <v>0</v>
      </c>
      <c r="G125" s="5" t="s">
        <v>844</v>
      </c>
      <c r="H125" s="24" t="s">
        <v>253</v>
      </c>
      <c r="J125" s="5" t="s">
        <v>844</v>
      </c>
      <c r="K125">
        <v>0</v>
      </c>
    </row>
    <row r="126" spans="1:11" x14ac:dyDescent="0.3">
      <c r="A126" s="21" t="s">
        <v>830</v>
      </c>
      <c r="B126" s="2">
        <v>0</v>
      </c>
      <c r="D126" s="5" t="s">
        <v>837</v>
      </c>
      <c r="E126" s="2">
        <v>0</v>
      </c>
      <c r="G126" s="5" t="s">
        <v>843</v>
      </c>
      <c r="H126" s="24" t="s">
        <v>253</v>
      </c>
    </row>
    <row r="127" spans="1:11" x14ac:dyDescent="0.3">
      <c r="A127" s="21" t="s">
        <v>831</v>
      </c>
      <c r="B127" s="2">
        <v>0</v>
      </c>
      <c r="D127" s="7" t="s">
        <v>838</v>
      </c>
      <c r="E127" s="2">
        <v>0</v>
      </c>
      <c r="G127" s="5" t="s">
        <v>842</v>
      </c>
      <c r="H127" s="24" t="s">
        <v>253</v>
      </c>
    </row>
    <row r="128" spans="1:11" x14ac:dyDescent="0.3">
      <c r="A128" s="21" t="s">
        <v>832</v>
      </c>
      <c r="B128" s="2">
        <v>0</v>
      </c>
      <c r="D128" s="5" t="s">
        <v>840</v>
      </c>
      <c r="E128" s="2">
        <v>0</v>
      </c>
    </row>
    <row r="129" spans="1:5" x14ac:dyDescent="0.3">
      <c r="A129" s="21" t="s">
        <v>833</v>
      </c>
      <c r="B129" s="2">
        <v>2448</v>
      </c>
      <c r="D129" s="5" t="s">
        <v>841</v>
      </c>
      <c r="E129" s="2" t="s">
        <v>253</v>
      </c>
    </row>
    <row r="130" spans="1:5" x14ac:dyDescent="0.3">
      <c r="A130" s="21" t="s">
        <v>834</v>
      </c>
      <c r="B130" s="2">
        <v>2448</v>
      </c>
      <c r="D130" s="5" t="s">
        <v>847</v>
      </c>
      <c r="E130" s="2" t="s">
        <v>848</v>
      </c>
    </row>
    <row r="131" spans="1:5" x14ac:dyDescent="0.3">
      <c r="A131" s="21" t="s">
        <v>835</v>
      </c>
      <c r="B131" s="2">
        <v>2448</v>
      </c>
      <c r="D131" s="5" t="s">
        <v>844</v>
      </c>
      <c r="E131" s="2" t="s">
        <v>253</v>
      </c>
    </row>
    <row r="132" spans="1:5" x14ac:dyDescent="0.3">
      <c r="A132" s="21" t="s">
        <v>836</v>
      </c>
      <c r="B132" s="2">
        <v>2448</v>
      </c>
      <c r="D132" s="5" t="s">
        <v>843</v>
      </c>
      <c r="E132" s="2" t="s">
        <v>253</v>
      </c>
    </row>
    <row r="133" spans="1:5" x14ac:dyDescent="0.3">
      <c r="A133" s="21" t="s">
        <v>837</v>
      </c>
      <c r="B133" s="2">
        <v>2448</v>
      </c>
      <c r="D133" s="5" t="s">
        <v>842</v>
      </c>
      <c r="E133" s="2" t="s">
        <v>253</v>
      </c>
    </row>
    <row r="134" spans="1:5" x14ac:dyDescent="0.3">
      <c r="A134" s="21" t="s">
        <v>838</v>
      </c>
      <c r="B134" s="2">
        <v>2448</v>
      </c>
    </row>
    <row r="137" spans="1:5" x14ac:dyDescent="0.3">
      <c r="A137" t="s">
        <v>855</v>
      </c>
      <c r="B137" s="2" t="s">
        <v>6</v>
      </c>
      <c r="D137" t="s">
        <v>858</v>
      </c>
      <c r="E137" s="2" t="s">
        <v>6</v>
      </c>
    </row>
    <row r="138" spans="1:5" x14ac:dyDescent="0.3">
      <c r="A138" s="5" t="s">
        <v>447</v>
      </c>
      <c r="B138" s="2">
        <v>0</v>
      </c>
      <c r="D138" s="5" t="s">
        <v>841</v>
      </c>
      <c r="E138" s="2">
        <v>0</v>
      </c>
    </row>
    <row r="139" spans="1:5" x14ac:dyDescent="0.3">
      <c r="A139" s="5" t="s">
        <v>828</v>
      </c>
      <c r="B139" s="2" t="s">
        <v>388</v>
      </c>
      <c r="D139" s="5" t="s">
        <v>847</v>
      </c>
      <c r="E139" s="2">
        <v>0</v>
      </c>
    </row>
    <row r="140" spans="1:5" x14ac:dyDescent="0.3">
      <c r="A140" s="21" t="s">
        <v>829</v>
      </c>
      <c r="B140" s="2">
        <v>0</v>
      </c>
      <c r="D140" s="5" t="s">
        <v>844</v>
      </c>
      <c r="E140" s="2">
        <v>0</v>
      </c>
    </row>
    <row r="141" spans="1:5" x14ac:dyDescent="0.3">
      <c r="A141" s="21" t="s">
        <v>830</v>
      </c>
      <c r="B141" s="2">
        <v>0</v>
      </c>
      <c r="D141" s="5" t="s">
        <v>843</v>
      </c>
      <c r="E141" s="2">
        <v>0</v>
      </c>
    </row>
    <row r="142" spans="1:5" x14ac:dyDescent="0.3">
      <c r="A142" s="21" t="s">
        <v>831</v>
      </c>
      <c r="B142" s="2">
        <v>0</v>
      </c>
      <c r="D142" s="7" t="s">
        <v>856</v>
      </c>
      <c r="E142" s="2">
        <v>0</v>
      </c>
    </row>
    <row r="143" spans="1:5" x14ac:dyDescent="0.3">
      <c r="A143" s="21" t="s">
        <v>832</v>
      </c>
      <c r="B143" s="2">
        <v>0</v>
      </c>
      <c r="D143" s="25" t="s">
        <v>857</v>
      </c>
      <c r="E143" s="2">
        <v>0</v>
      </c>
    </row>
    <row r="144" spans="1:5" x14ac:dyDescent="0.3">
      <c r="A144" s="21" t="s">
        <v>833</v>
      </c>
      <c r="B144" s="2">
        <v>2448</v>
      </c>
    </row>
    <row r="145" spans="1:8" x14ac:dyDescent="0.3">
      <c r="A145" s="21" t="s">
        <v>834</v>
      </c>
      <c r="B145" s="2">
        <v>2448</v>
      </c>
    </row>
    <row r="146" spans="1:8" x14ac:dyDescent="0.3">
      <c r="A146" s="21" t="s">
        <v>835</v>
      </c>
      <c r="B146" s="2">
        <v>2448</v>
      </c>
    </row>
    <row r="147" spans="1:8" x14ac:dyDescent="0.3">
      <c r="A147" s="21" t="s">
        <v>836</v>
      </c>
      <c r="B147" s="2">
        <v>2448</v>
      </c>
    </row>
    <row r="148" spans="1:8" x14ac:dyDescent="0.3">
      <c r="A148" s="21" t="s">
        <v>837</v>
      </c>
      <c r="B148" s="2">
        <v>2448</v>
      </c>
    </row>
    <row r="149" spans="1:8" x14ac:dyDescent="0.3">
      <c r="A149" s="21" t="s">
        <v>838</v>
      </c>
      <c r="B149" s="2">
        <v>2448</v>
      </c>
    </row>
    <row r="152" spans="1:8" x14ac:dyDescent="0.3">
      <c r="A152" t="s">
        <v>909</v>
      </c>
      <c r="B152" s="2" t="s">
        <v>6</v>
      </c>
      <c r="D152" t="s">
        <v>914</v>
      </c>
      <c r="E152" s="2" t="s">
        <v>6</v>
      </c>
      <c r="G152" t="s">
        <v>906</v>
      </c>
      <c r="H152" s="2" t="s">
        <v>6</v>
      </c>
    </row>
    <row r="153" spans="1:8" x14ac:dyDescent="0.3">
      <c r="A153" t="s">
        <v>910</v>
      </c>
      <c r="B153" s="2">
        <v>0</v>
      </c>
      <c r="D153" s="5" t="s">
        <v>447</v>
      </c>
      <c r="E153" s="2">
        <v>0</v>
      </c>
      <c r="G153" t="s">
        <v>921</v>
      </c>
      <c r="H153" s="2">
        <v>0</v>
      </c>
    </row>
    <row r="154" spans="1:8" x14ac:dyDescent="0.3">
      <c r="A154" t="s">
        <v>911</v>
      </c>
      <c r="B154" s="2">
        <v>0</v>
      </c>
      <c r="D154" s="5" t="s">
        <v>915</v>
      </c>
      <c r="E154" s="2">
        <v>0</v>
      </c>
      <c r="G154" t="s">
        <v>922</v>
      </c>
      <c r="H154" s="2">
        <v>0</v>
      </c>
    </row>
    <row r="155" spans="1:8" x14ac:dyDescent="0.3">
      <c r="A155" t="s">
        <v>912</v>
      </c>
      <c r="D155" s="5" t="s">
        <v>771</v>
      </c>
      <c r="E155" s="2">
        <v>0</v>
      </c>
      <c r="G155" t="s">
        <v>923</v>
      </c>
      <c r="H155" s="2">
        <v>0</v>
      </c>
    </row>
    <row r="156" spans="1:8" x14ac:dyDescent="0.3">
      <c r="A156" t="s">
        <v>913</v>
      </c>
      <c r="B156" s="2" t="s">
        <v>526</v>
      </c>
      <c r="D156" s="21" t="s">
        <v>916</v>
      </c>
      <c r="E156" s="2" t="s">
        <v>253</v>
      </c>
      <c r="G156" t="s">
        <v>924</v>
      </c>
      <c r="H156" s="2" t="s">
        <v>895</v>
      </c>
    </row>
    <row r="157" spans="1:8" x14ac:dyDescent="0.3">
      <c r="D157" s="21" t="s">
        <v>917</v>
      </c>
      <c r="E157" s="2" t="s">
        <v>253</v>
      </c>
    </row>
    <row r="158" spans="1:8" x14ac:dyDescent="0.3">
      <c r="D158" s="21" t="s">
        <v>918</v>
      </c>
      <c r="E158" s="2" t="s">
        <v>388</v>
      </c>
    </row>
    <row r="159" spans="1:8" x14ac:dyDescent="0.3">
      <c r="D159" s="21" t="s">
        <v>919</v>
      </c>
      <c r="E159" s="2" t="s">
        <v>388</v>
      </c>
    </row>
    <row r="160" spans="1:8" x14ac:dyDescent="0.3">
      <c r="D160" s="21" t="s">
        <v>920</v>
      </c>
      <c r="E160" s="2" t="s">
        <v>388</v>
      </c>
    </row>
    <row r="163" spans="1:8" x14ac:dyDescent="0.3">
      <c r="A163" t="s">
        <v>964</v>
      </c>
      <c r="B163" s="2" t="s">
        <v>6</v>
      </c>
      <c r="D163" t="s">
        <v>969</v>
      </c>
      <c r="E163" s="2" t="s">
        <v>6</v>
      </c>
    </row>
    <row r="164" spans="1:8" x14ac:dyDescent="0.3">
      <c r="A164" t="s">
        <v>965</v>
      </c>
      <c r="B164" s="2">
        <v>0</v>
      </c>
      <c r="D164" s="5" t="s">
        <v>975</v>
      </c>
      <c r="E164" s="2" t="s">
        <v>976</v>
      </c>
      <c r="G164" t="s">
        <v>977</v>
      </c>
      <c r="H164" s="2" t="s">
        <v>6</v>
      </c>
    </row>
    <row r="165" spans="1:8" x14ac:dyDescent="0.3">
      <c r="A165" t="s">
        <v>966</v>
      </c>
      <c r="B165" s="2">
        <v>0</v>
      </c>
      <c r="D165" s="5" t="s">
        <v>142</v>
      </c>
      <c r="E165" s="2">
        <v>0</v>
      </c>
      <c r="G165" s="7" t="s">
        <v>978</v>
      </c>
      <c r="H165" s="2">
        <v>0</v>
      </c>
    </row>
    <row r="166" spans="1:8" x14ac:dyDescent="0.3">
      <c r="A166" t="s">
        <v>142</v>
      </c>
      <c r="B166" s="2">
        <v>173</v>
      </c>
      <c r="D166" s="5" t="s">
        <v>967</v>
      </c>
      <c r="E166" s="2">
        <v>0</v>
      </c>
      <c r="G166" s="7" t="s">
        <v>973</v>
      </c>
      <c r="H166" s="2" t="s">
        <v>974</v>
      </c>
    </row>
    <row r="167" spans="1:8" x14ac:dyDescent="0.3">
      <c r="A167" t="s">
        <v>967</v>
      </c>
      <c r="B167" s="2">
        <v>173</v>
      </c>
      <c r="D167" s="5" t="s">
        <v>912</v>
      </c>
      <c r="E167" s="2">
        <v>0</v>
      </c>
    </row>
    <row r="168" spans="1:8" x14ac:dyDescent="0.3">
      <c r="A168" t="s">
        <v>912</v>
      </c>
      <c r="B168" s="2">
        <v>173</v>
      </c>
      <c r="D168" s="21" t="s">
        <v>970</v>
      </c>
      <c r="E168" s="2" t="s">
        <v>961</v>
      </c>
    </row>
    <row r="169" spans="1:8" x14ac:dyDescent="0.3">
      <c r="A169" t="s">
        <v>968</v>
      </c>
      <c r="B169" s="2" t="s">
        <v>388</v>
      </c>
      <c r="D169" s="21" t="s">
        <v>971</v>
      </c>
      <c r="E169" s="2" t="s">
        <v>961</v>
      </c>
    </row>
    <row r="170" spans="1:8" x14ac:dyDescent="0.3">
      <c r="D170" s="21" t="s">
        <v>972</v>
      </c>
      <c r="E170" s="2" t="s">
        <v>961</v>
      </c>
    </row>
    <row r="171" spans="1:8" x14ac:dyDescent="0.3">
      <c r="D171" s="7" t="s">
        <v>968</v>
      </c>
      <c r="E171" s="2" t="s">
        <v>388</v>
      </c>
    </row>
    <row r="172" spans="1:8" x14ac:dyDescent="0.3">
      <c r="D172" s="21" t="s">
        <v>973</v>
      </c>
      <c r="E172" s="2" t="s">
        <v>974</v>
      </c>
    </row>
  </sheetData>
  <pageMargins left="0.7" right="0.7" top="0.75" bottom="0.75" header="0.3" footer="0.3"/>
  <pageSetup paperSize="9" orientation="portrait" r:id="rId1"/>
  <tableParts count="52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  <tablePart r:id="rId43"/>
    <tablePart r:id="rId44"/>
    <tablePart r:id="rId45"/>
    <tablePart r:id="rId46"/>
    <tablePart r:id="rId47"/>
    <tablePart r:id="rId48"/>
    <tablePart r:id="rId49"/>
    <tablePart r:id="rId50"/>
    <tablePart r:id="rId51"/>
    <tablePart r:id="rId52"/>
    <tablePart r:id="rId5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72</vt:i4>
      </vt:variant>
    </vt:vector>
  </HeadingPairs>
  <TitlesOfParts>
    <vt:vector size="80" baseType="lpstr">
      <vt:lpstr>Sheet2</vt:lpstr>
      <vt:lpstr>Sheet1</vt:lpstr>
      <vt:lpstr>Options</vt:lpstr>
      <vt:lpstr>Paint</vt:lpstr>
      <vt:lpstr>Wheels</vt:lpstr>
      <vt:lpstr>Trim</vt:lpstr>
      <vt:lpstr>Headlining</vt:lpstr>
      <vt:lpstr>Upholstery</vt:lpstr>
      <vt:lpstr>A180O</vt:lpstr>
      <vt:lpstr>A200CDIO</vt:lpstr>
      <vt:lpstr>A200O</vt:lpstr>
      <vt:lpstr>A250SportO</vt:lpstr>
      <vt:lpstr>A45AMG4MATICO</vt:lpstr>
      <vt:lpstr>A45AMGO</vt:lpstr>
      <vt:lpstr>AClassList</vt:lpstr>
      <vt:lpstr>AMGS63Coupe</vt:lpstr>
      <vt:lpstr>AMGS63LO</vt:lpstr>
      <vt:lpstr>AMGS63SaloonO</vt:lpstr>
      <vt:lpstr>AMGS65LO</vt:lpstr>
      <vt:lpstr>AMGS65O</vt:lpstr>
      <vt:lpstr>AMGSL65O</vt:lpstr>
      <vt:lpstr>BClassList</vt:lpstr>
      <vt:lpstr>CClassEstateList</vt:lpstr>
      <vt:lpstr>CClassSedanList</vt:lpstr>
      <vt:lpstr>CLA200CDIO</vt:lpstr>
      <vt:lpstr>CLA200O</vt:lpstr>
      <vt:lpstr>CLA250SportO</vt:lpstr>
      <vt:lpstr>CLA45AMG4MATICO</vt:lpstr>
      <vt:lpstr>CLA45AMGO</vt:lpstr>
      <vt:lpstr>CLAClassList</vt:lpstr>
      <vt:lpstr>CLS250CDIO</vt:lpstr>
      <vt:lpstr>CLS250CDIShootingBrakeO</vt:lpstr>
      <vt:lpstr>CLS400O</vt:lpstr>
      <vt:lpstr>CLS500O</vt:lpstr>
      <vt:lpstr>CLS500ShootingBrakeO</vt:lpstr>
      <vt:lpstr>CLS63AMGSO</vt:lpstr>
      <vt:lpstr>CLSClassCoupeList</vt:lpstr>
      <vt:lpstr>CLSClassShootingBrakeList</vt:lpstr>
      <vt:lpstr>E200CDIO</vt:lpstr>
      <vt:lpstr>E200O</vt:lpstr>
      <vt:lpstr>E250CDIO</vt:lpstr>
      <vt:lpstr>E250O</vt:lpstr>
      <vt:lpstr>E300BlueTECHYBRIDO</vt:lpstr>
      <vt:lpstr>E400O</vt:lpstr>
      <vt:lpstr>E400wEXCLUSIVEPACKAGEO</vt:lpstr>
      <vt:lpstr>E63AMGSO</vt:lpstr>
      <vt:lpstr>EClassList</vt:lpstr>
      <vt:lpstr>G350BlueTECO</vt:lpstr>
      <vt:lpstr>G500O</vt:lpstr>
      <vt:lpstr>G63AMGO</vt:lpstr>
      <vt:lpstr>GClassList</vt:lpstr>
      <vt:lpstr>GL350BlueTECEditionSO</vt:lpstr>
      <vt:lpstr>GL350BlueTECLimitedEditionO</vt:lpstr>
      <vt:lpstr>GL500EditionSO</vt:lpstr>
      <vt:lpstr>GL63AMGO</vt:lpstr>
      <vt:lpstr>GLA200O</vt:lpstr>
      <vt:lpstr>GLA250O</vt:lpstr>
      <vt:lpstr>GLA45AMG4MATICO</vt:lpstr>
      <vt:lpstr>GLAClassList</vt:lpstr>
      <vt:lpstr>GLClassList</vt:lpstr>
      <vt:lpstr>ModelLookup</vt:lpstr>
      <vt:lpstr>S300hO</vt:lpstr>
      <vt:lpstr>S350dLO</vt:lpstr>
      <vt:lpstr>S350dO</vt:lpstr>
      <vt:lpstr>S400LO</vt:lpstr>
      <vt:lpstr>S500CoupeO</vt:lpstr>
      <vt:lpstr>S500LO</vt:lpstr>
      <vt:lpstr>S500SaloonO</vt:lpstr>
      <vt:lpstr>S600LO</vt:lpstr>
      <vt:lpstr>SClassCoupeList</vt:lpstr>
      <vt:lpstr>SClassSaloonList</vt:lpstr>
      <vt:lpstr>SL400O</vt:lpstr>
      <vt:lpstr>SL500O</vt:lpstr>
      <vt:lpstr>SLClassRoadsterList</vt:lpstr>
      <vt:lpstr>SLK200O</vt:lpstr>
      <vt:lpstr>SLK250O</vt:lpstr>
      <vt:lpstr>SLK350O</vt:lpstr>
      <vt:lpstr>SLKClassList</vt:lpstr>
      <vt:lpstr>V250BlueTECAVANTGARDEO</vt:lpstr>
      <vt:lpstr>VClassList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Becky Johnson-Hoole</dc:creator>
  <cp:lastModifiedBy>Becky Johnson-Hoole</cp:lastModifiedBy>
  <cp:lastPrinted>2015-06-17T14:03:18Z</cp:lastPrinted>
  <dcterms:created xsi:type="dcterms:W3CDTF">2015-06-09T23:16:27Z</dcterms:created>
  <dcterms:modified xsi:type="dcterms:W3CDTF">2015-06-22T07:07:11Z</dcterms:modified>
</cp:coreProperties>
</file>